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S MERSDW VVB Onboarding Schem" state="visible" r:id="rId4"/>
    <sheet sheetId="2" name="GS MERSDW Project Developer On" state="visible" r:id="rId5"/>
    <sheet sheetId="3" name="GS MERSDW Project Form" state="visible" r:id="rId6"/>
    <sheet sheetId="4" name="GS MERSDW Project Design Docum" state="visible" r:id="rId7"/>
    <sheet sheetId="5" name="Project Related Information" state="visible" r:id="rId8"/>
    <sheet sheetId="6" name="Country" state="visible" r:id="rId9"/>
    <sheet sheetId="7" name="Additional Information" state="visible" r:id="rId10"/>
    <sheet sheetId="8" name="Water Treatment Technology" state="visible" r:id="rId11"/>
    <sheet sheetId="9" name="If the Project Installation is" state="visible" r:id="rId12"/>
    <sheet sheetId="10" name="Project Developer Details" state="visible" r:id="rId13"/>
    <sheet sheetId="11" name="Entity Information" state="visible" r:id="rId14"/>
    <sheet sheetId="12" name="Contact Person Details" state="visible" r:id="rId15"/>
    <sheet sheetId="13" name="Project Location Details" state="visible" r:id="rId16"/>
    <sheet sheetId="14" name="Project Details" state="visible" r:id="rId17"/>
    <sheet sheetId="15" name="Upload Supporting Compliance D" state="visible" r:id="rId18"/>
    <sheet sheetId="16" name="Water Treatment Technology - C" state="visible" r:id="rId19"/>
    <sheet sheetId="17" name="Treatment Technology Sub-type" state="visible" r:id="rId20"/>
    <sheet sheetId="18" name="Treatment Technology Sub-ty 2" state="visible" r:id="rId21"/>
    <sheet sheetId="19" name="Basic Information" state="visible" r:id="rId22"/>
    <sheet sheetId="20" name="Replacement Strategy Details" state="visible" r:id="rId23"/>
    <sheet sheetId="21" name="Estimated Baseline Calculation" state="visible" r:id="rId24"/>
    <sheet sheetId="22" name="Water Source Baseline Details" state="visible" r:id="rId25"/>
    <sheet sheetId="23" name="Methodologies and Standardized" state="visible" r:id="rId26"/>
    <sheet sheetId="24" name="Project Crediting Period Detai" state="visible" r:id="rId27"/>
    <sheet sheetId="25" name="Maintenance and Operation Plan" state="visible" r:id="rId28"/>
    <sheet sheetId="26" name="Hygiene Awareness Campaign" state="visible" r:id="rId29"/>
    <sheet sheetId="27" name="Project Boundary and Additiona" state="visible" r:id="rId30"/>
    <sheet sheetId="28" name="Host Country Regulatory Framew" state="visible" r:id="rId31"/>
    <sheet sheetId="29" name="Monitoring Plan Summary" state="visible" r:id="rId32"/>
    <sheet sheetId="30" name="Project Crediting Period" state="visible" r:id="rId33"/>
    <sheet sheetId="31" name="Water Treatment Technology - P" state="visible" r:id="rId34"/>
    <sheet sheetId="32" name="Water Treatment Technology  2" state="visible" r:id="rId35"/>
    <sheet sheetId="33" name="Maintenance Plan for CWTCWS" state="visible" r:id="rId36"/>
    <sheet sheetId="34" name="Scope (enum)" state="visible" r:id="rId37"/>
    <sheet sheetId="35" name="Accreditation Scope (enum)" state="visible" r:id="rId38"/>
    <sheet sheetId="36" name="Country 2 (enum)" state="visible" r:id="rId39"/>
    <sheet sheetId="37" name="Entity Type (enum)" state="visible" r:id="rId40"/>
    <sheet sheetId="38" name="UrbanRural Classificati (enum)" state="visible" r:id="rId41"/>
    <sheet sheetId="39" name="Project Status (enum)" state="visible" r:id="rId42"/>
    <sheet sheetId="40" name="The scale of the projec (enum)" state="visible" r:id="rId43"/>
    <sheet sheetId="41" name="Treatment Technology Ca (enum)" state="visible" r:id="rId44"/>
    <sheet sheetId="42" name="Treatment Technology Su (enum)" state="visible" r:id="rId45"/>
    <sheet sheetId="43" name="Treatment Technology 2 (enum)" state="visible" r:id="rId46"/>
    <sheet sheetId="44" name="Water source classifica (enum)" state="visible" r:id="rId47"/>
    <sheet sheetId="45" name="Baseline treatment meth (enum)" state="visible" r:id="rId48"/>
    <sheet sheetId="46" name="Type of crediting Perio (enum)" state="visible" r:id="rId49"/>
    <sheet sheetId="47" name="Campaign type (enum)" state="visible" r:id="rId50"/>
    <sheet sheetId="48" name="Treatment Technology 3 (enum)" state="visible" r:id="rId51"/>
  </sheets>
  <calcPr calcId="171027"/>
</workbook>
</file>

<file path=xl/sharedStrings.xml><?xml version="1.0" encoding="utf-8"?>
<sst xmlns="http://schemas.openxmlformats.org/spreadsheetml/2006/main" count="5646" uniqueCount="871">
  <si>
    <t>GS MERSDW VVB Onboarding Schema</t>
  </si>
  <si>
    <t>Description</t>
  </si>
  <si>
    <t>Validation and Verification Body (VVB) Onboarding</t>
  </si>
  <si>
    <t>Schema Type</t>
  </si>
  <si>
    <t>Verifiable Credentials</t>
  </si>
  <si>
    <t>Required Field</t>
  </si>
  <si>
    <t>Field Type</t>
  </si>
  <si>
    <t>Parameter</t>
  </si>
  <si>
    <t>Visibility</t>
  </si>
  <si>
    <t>Question</t>
  </si>
  <si>
    <t>Allow Multiple Answers</t>
  </si>
  <si>
    <t>Answer</t>
  </si>
  <si>
    <t>Default</t>
  </si>
  <si>
    <t>Suggest</t>
  </si>
  <si>
    <t>Key</t>
  </si>
  <si>
    <t>Yes</t>
  </si>
  <si>
    <t>Pattern</t>
  </si>
  <si>
    <t>^[A-Za-z0-9 .,\-]{5,150}$</t>
  </si>
  <si>
    <t>Entity Name</t>
  </si>
  <si>
    <t>No</t>
  </si>
  <si>
    <t>example vvb</t>
  </si>
  <si>
    <t/>
  </si>
  <si>
    <t>entity_name</t>
  </si>
  <si>
    <t>Country</t>
  </si>
  <si>
    <t>Country of Registration</t>
  </si>
  <si>
    <t>{"country":"Afghanistan"}</t>
  </si>
  <si>
    <t>country_of_registration</t>
  </si>
  <si>
    <t>Enum</t>
  </si>
  <si>
    <t>Country 2 (enum)</t>
  </si>
  <si>
    <t>Sri Lanka</t>
  </si>
  <si>
    <t>country</t>
  </si>
  <si>
    <t>Scope (enum)</t>
  </si>
  <si>
    <t>Scope</t>
  </si>
  <si>
    <t>Community Services Activities</t>
  </si>
  <si>
    <t>scope</t>
  </si>
  <si>
    <t>Accreditation Scope (enum)</t>
  </si>
  <si>
    <t>Accreditation Scope</t>
  </si>
  <si>
    <t>Energy industries</t>
  </si>
  <si>
    <t>accreditation_scope</t>
  </si>
  <si>
    <t>^.{1,200}$</t>
  </si>
  <si>
    <t>Registered Address</t>
  </si>
  <si>
    <t>example</t>
  </si>
  <si>
    <t>registered_address</t>
  </si>
  <si>
    <t>Email</t>
  </si>
  <si>
    <t>Official Email Address</t>
  </si>
  <si>
    <t>example@example.example</t>
  </si>
  <si>
    <t>official_email_address</t>
  </si>
  <si>
    <t>^[A-Za-z ]{3,100}$</t>
  </si>
  <si>
    <t>Authorized Contact Person Name</t>
  </si>
  <si>
    <t>authorized_contact_person_name</t>
  </si>
  <si>
    <t>Authorized Contact Person Role</t>
  </si>
  <si>
    <t>authorized_contact_person_role</t>
  </si>
  <si>
    <t>^\+?[1-9]\d{7,14}$</t>
  </si>
  <si>
    <t>Authorized Contact Phone Number</t>
  </si>
  <si>
    <t>+11111111</t>
  </si>
  <si>
    <t>authorized_contact_phone_number</t>
  </si>
  <si>
    <t>File</t>
  </si>
  <si>
    <t>ISO 14065 Accreditation Certificate</t>
  </si>
  <si>
    <t>ipfs://&lt;example&gt;</t>
  </si>
  <si>
    <t>iso_14065_accreditation_certificate</t>
  </si>
  <si>
    <t>Scope of Accreditation Document</t>
  </si>
  <si>
    <t>scope_of_accreditation_document</t>
  </si>
  <si>
    <t>Official Gold Standard Approval / Recognition Letter</t>
  </si>
  <si>
    <t>official_gold_standard_approval_letter</t>
  </si>
  <si>
    <t>Authorization Letter for Signatory</t>
  </si>
  <si>
    <t>authorization_letter_for_signatory</t>
  </si>
  <si>
    <t>Evidence of GS-Approved VVB Listing</t>
  </si>
  <si>
    <t>evidence_of_gs_approved_vvb_listing</t>
  </si>
  <si>
    <t>Conflict of Interest Declaration</t>
  </si>
  <si>
    <t>conflict_of_interest_declaration</t>
  </si>
  <si>
    <t>GS MERSDW Project Developer Onboarding Schema</t>
  </si>
  <si>
    <t>Entity Information</t>
  </si>
  <si>
    <t>{"entity_name":"example pd","entity_type":"Private Company","entity_address":"example ","website":"www.example.example"}</t>
  </si>
  <si>
    <t>entityInformation</t>
  </si>
  <si>
    <t>8834bcb459f0f9ee69ebe42c2d673a15</t>
  </si>
  <si>
    <t>Entity Type (enum)</t>
  </si>
  <si>
    <t>Entity Type</t>
  </si>
  <si>
    <t>Private Company</t>
  </si>
  <si>
    <t>entity_type</t>
  </si>
  <si>
    <t>Entity Address</t>
  </si>
  <si>
    <t>55c9261dcc738439d39f1128018f1a09</t>
  </si>
  <si>
    <t>entity_address</t>
  </si>
  <si>
    <t>^(https?:\/\/)?(www\.)?[A-Za-z0-9.-]+\.[A-Za-z]{2,}([\/?#][^\s]*)?$</t>
  </si>
  <si>
    <t>Website</t>
  </si>
  <si>
    <t>efe6a5065da9c73c6edf2c43637cada0</t>
  </si>
  <si>
    <t>website</t>
  </si>
  <si>
    <t>Contact Person Details</t>
  </si>
  <si>
    <t>{"full_name":"example","designation":"example","official_email_address":"example@example.example","phone_number":"+11111111"}</t>
  </si>
  <si>
    <t>contactPersonDetails</t>
  </si>
  <si>
    <t>Full Name</t>
  </si>
  <si>
    <t>6d4fa862fd1267d7e827b68f544e4626</t>
  </si>
  <si>
    <t>full_name</t>
  </si>
  <si>
    <t>Designation</t>
  </si>
  <si>
    <t>a3ed9023e23bb0b2b1ee4c4175b0026e</t>
  </si>
  <si>
    <t>designation</t>
  </si>
  <si>
    <t>example@email.com</t>
  </si>
  <si>
    <t>Phone Number</t>
  </si>
  <si>
    <t>af2980b4b6ad3dfbe7031a5d9cace888</t>
  </si>
  <si>
    <t>phone_number</t>
  </si>
  <si>
    <t>Project Related Information</t>
  </si>
  <si>
    <t>{"project_name":"example","project_type":"example"}</t>
  </si>
  <si>
    <t>projectInformation</t>
  </si>
  <si>
    <t>Project Name</t>
  </si>
  <si>
    <t>012809dfec3d18c2d1908826d4fca3ee</t>
  </si>
  <si>
    <t>project_name</t>
  </si>
  <si>
    <t>Project Type</t>
  </si>
  <si>
    <t>393daea30ce7bb1c9daa0f6a8e7d2668</t>
  </si>
  <si>
    <t>project_type</t>
  </si>
  <si>
    <t>Additional Information</t>
  </si>
  <si>
    <t>{"additional_documents":["ipfs://&lt;example&gt;"]}</t>
  </si>
  <si>
    <t>additionalInformation</t>
  </si>
  <si>
    <t>Additional Documents (PDF only, max 20 MB)</t>
  </si>
  <si>
    <t>ipfs://1351c796f95496fdaae9bc88151f9b8e</t>
  </si>
  <si>
    <t>additional_documents</t>
  </si>
  <si>
    <t>GS MERSDW Project Form</t>
  </si>
  <si>
    <t>Power Source Details</t>
  </si>
  <si>
    <t>Project Location Details</t>
  </si>
  <si>
    <t>{"country":{"country":"Afghanistan"},"state_region_province":"example","city_village":"example","postal_code":"example","urban_rural_classification":"Rural","project_location":{"type":"Point","coordinates":[0,0]},"gps_latitude":"11","gps_longitude":"11"}</t>
  </si>
  <si>
    <t>project_location</t>
  </si>
  <si>
    <t>^[A-Za-z0-9](?:[A-Za-z0-9 -]{0,98}[A-Za-z0-9])$</t>
  </si>
  <si>
    <t>State, Region/Province</t>
  </si>
  <si>
    <t>0b01964754f99b2ba30a1ff3cf134981</t>
  </si>
  <si>
    <t>state_region_province</t>
  </si>
  <si>
    <t>^[A-Za-z0-9 ]{2,50}$</t>
  </si>
  <si>
    <t>City/Village</t>
  </si>
  <si>
    <t>07acf10ee7608de0d0f6f54781c36b22</t>
  </si>
  <si>
    <t>city_village</t>
  </si>
  <si>
    <t>^[A-Za-z0-9 ]{3,10}$</t>
  </si>
  <si>
    <t>Postal Code</t>
  </si>
  <si>
    <t>75ecb2827d98175dc8ed8c6d8b743fce</t>
  </si>
  <si>
    <t>postal_code</t>
  </si>
  <si>
    <t>UrbanRural Classificati (enum)</t>
  </si>
  <si>
    <t>Urban/Rural Classification</t>
  </si>
  <si>
    <t>Urban</t>
  </si>
  <si>
    <t>urban_rural_classification</t>
  </si>
  <si>
    <t>GeoJSON</t>
  </si>
  <si>
    <t>Project Location</t>
  </si>
  <si>
    <t>^[-+]?([0-8]?\d(\.\d+)?|90(\.0+)?)$</t>
  </si>
  <si>
    <t>GPS Latitude</t>
  </si>
  <si>
    <t>9926f5e1b468606bc5a9b23f68e40a5b</t>
  </si>
  <si>
    <t>gps_latitude</t>
  </si>
  <si>
    <t>^[-+]?(1[0-7]\d(\.\d+)?|[0-9]?\d(\.\d+)?|180(\.0+)?)$</t>
  </si>
  <si>
    <t>GPS Longitude</t>
  </si>
  <si>
    <t>4065ea34d4bdd5a0f39329d39e087a35</t>
  </si>
  <si>
    <t>gps_longitude</t>
  </si>
  <si>
    <t>Project Developer Details</t>
  </si>
  <si>
    <t>{"pd_entity_name":"example","pd_email_address":"example@example.example","contact_full_name":"example example","email_address":"example@example.example","phone_primary":"+11111111","phone_secondary":"+11111111","physical_address":"example","website":"example.example.example","years_of_experience":1}</t>
  </si>
  <si>
    <t>project_developer_details</t>
  </si>
  <si>
    <t>String</t>
  </si>
  <si>
    <t>pd_entity_name</t>
  </si>
  <si>
    <t>Email Address</t>
  </si>
  <si>
    <t>pd_email_address</t>
  </si>
  <si>
    <t>^[A-Za-z]{2,}(?:[ '-][A-Za-z]{2,})+$</t>
  </si>
  <si>
    <t>Contact Person Full Name</t>
  </si>
  <si>
    <t>d336e094a50b7633ecce86d179b24420</t>
  </si>
  <si>
    <t>contact_full_name</t>
  </si>
  <si>
    <t>Phone Number (Primary)</t>
  </si>
  <si>
    <t>7616242687670eeb743e6fcd945d412c</t>
  </si>
  <si>
    <t>phone_primary</t>
  </si>
  <si>
    <t>Phone Number (Secondary)</t>
  </si>
  <si>
    <t>c3d5132a04868d9793eba2140915e39f</t>
  </si>
  <si>
    <t>phone_secondary</t>
  </si>
  <si>
    <t>^[A-Za-z0-9 ,./#-]{5,300}$</t>
  </si>
  <si>
    <t>Physical Address</t>
  </si>
  <si>
    <t>9c5ff29cae863070e54709290b4f56b8</t>
  </si>
  <si>
    <t>physical_address</t>
  </si>
  <si>
    <t>b8c827d7ad71017610a087d1af0aaa3a</t>
  </si>
  <si>
    <t>Number</t>
  </si>
  <si>
    <t>Years of Experience</t>
  </si>
  <si>
    <t>years_of_experience</t>
  </si>
  <si>
    <t>Project Details</t>
  </si>
  <si>
    <t>{"project_name":"example","intended_start_date":"2026-01-16","intended_completion_date":"2026-01-16","project_status":"New","project_status_description":"example","project_scale":"Small"}</t>
  </si>
  <si>
    <t>project_details</t>
  </si>
  <si>
    <t>^[A-Za-z0-9][A-Za-z0-9 _-]{1,99}$</t>
  </si>
  <si>
    <t>b4b68caf0a46ffa74f891ed03e36d7e8</t>
  </si>
  <si>
    <t>Date</t>
  </si>
  <si>
    <t>Intended Start Date</t>
  </si>
  <si>
    <t>2000-01-01</t>
  </si>
  <si>
    <t>intended_start_date</t>
  </si>
  <si>
    <t>Intended Project Completion Date</t>
  </si>
  <si>
    <t>intended_completion_date</t>
  </si>
  <si>
    <t>Project Status (enum)</t>
  </si>
  <si>
    <t>Project Status</t>
  </si>
  <si>
    <t>New</t>
  </si>
  <si>
    <t>project_status</t>
  </si>
  <si>
    <t>^[A-Za-z0-9 ,.!?()_\-/&amp;]{5,1000}$</t>
  </si>
  <si>
    <t>Project Status Description</t>
  </si>
  <si>
    <t>77920dbf930b9ec0b306f63852c88a93</t>
  </si>
  <si>
    <t>project_status_description</t>
  </si>
  <si>
    <t>The scale of the projec (enum)</t>
  </si>
  <si>
    <t>The scale of the project</t>
  </si>
  <si>
    <t>Small</t>
  </si>
  <si>
    <t>project_scale</t>
  </si>
  <si>
    <t>Water Treatment Technology</t>
  </si>
  <si>
    <t>{"field0":{"treatment_technology_category":"CWT, CWS","cwt_treatment_subtype":{"treatment_subtype_cwt_cws":"Borehole with Distribution"},"cwt_manufacturer_name":"example","cwt_product_name":"example","cwt_daily_maximum_output":"example","cwt_number_of_eligible_households":1,"cwt_average_distance_to_water_point":1,"cwt_who_performance_classification":"1","cwt_expected_technical_life":"1","cwt_pump_type":"example","cwt_backup_engine_installed":true,"cwt_power_source_details":"example","cwt_maintenance_and_repair_plan":"example","cwt_initial_water_quality_report":"ipfs://&lt;example&gt;","project_rehabilitation":{"is_rehabilitation":true,"original_installation_date":"2026-01-20","rehabilitation_details":"example","rehabilitation_date":"2026-01-20","maintenance_repair_plan":"ipfs://&lt;example&gt;","non_operational_evidence":"ipfs://&lt;example&gt;"}},"proposed_technology_description":"example"}</t>
  </si>
  <si>
    <t>water_treatment_technology</t>
  </si>
  <si>
    <t>Water Treatment Technology - C</t>
  </si>
  <si>
    <t>Category Related Details</t>
  </si>
  <si>
    <t>field0</t>
  </si>
  <si>
    <t>Treatment Technology Ca (enum)</t>
  </si>
  <si>
    <t>Treatment Technology Category</t>
  </si>
  <si>
    <t>CWT, CWS</t>
  </si>
  <si>
    <t>treatment_technology_category</t>
  </si>
  <si>
    <t>Treatment Technology Sub-ty 2</t>
  </si>
  <si>
    <t>Treatment Technology Sub-type</t>
  </si>
  <si>
    <t>hwt_treatment_subtype</t>
  </si>
  <si>
    <t>Treatment Technology 2 (enum)</t>
  </si>
  <si>
    <t>Ceramic Water Filters</t>
  </si>
  <si>
    <t>treatment_subtype_hwt_iwt</t>
  </si>
  <si>
    <t>Treatment Technology Sub-type (Other)</t>
  </si>
  <si>
    <t>treatment_technology_sub-type_other</t>
  </si>
  <si>
    <t>Manufacturer Name</t>
  </si>
  <si>
    <t>hwt_manufacturer_name</t>
  </si>
  <si>
    <t>Model / Product Name</t>
  </si>
  <si>
    <t>hwt_model_product_name</t>
  </si>
  <si>
    <t>WHO Performance Classification</t>
  </si>
  <si>
    <t>hwt_who_performance_classification</t>
  </si>
  <si>
    <t>Expected Technical Life</t>
  </si>
  <si>
    <t>hwt_expected_technical_life</t>
  </si>
  <si>
    <t>Filter life</t>
  </si>
  <si>
    <t>hwt_filter_life</t>
  </si>
  <si>
    <t>Treatment Capacity</t>
  </si>
  <si>
    <t>hwt_treatment_capacity</t>
  </si>
  <si>
    <t>Number of Households Equipped</t>
  </si>
  <si>
    <t>hwt_number_of_households_equipped</t>
  </si>
  <si>
    <t>Household Size</t>
  </si>
  <si>
    <t>hwt_household_size</t>
  </si>
  <si>
    <t>Required dosage (If chlorine tablets)</t>
  </si>
  <si>
    <t>hwt_required_dosage</t>
  </si>
  <si>
    <t>cwt_treatment_subtype</t>
  </si>
  <si>
    <t>Treatment Technology Su (enum)</t>
  </si>
  <si>
    <t>Borehole with Distribution</t>
  </si>
  <si>
    <t>treatment_subtype_cwt_cws</t>
  </si>
  <si>
    <t>cwt_manufacturer_name</t>
  </si>
  <si>
    <t>Product Name (If Applicable)</t>
  </si>
  <si>
    <t>cwt_product_name</t>
  </si>
  <si>
    <t>Daily Maximum Output (L/day)</t>
  </si>
  <si>
    <t>cwt_daily_maximum_output</t>
  </si>
  <si>
    <t>Number of Eligible Households</t>
  </si>
  <si>
    <t>cwt_number_of_eligible_households</t>
  </si>
  <si>
    <t>Average Distance to Water Point (m)</t>
  </si>
  <si>
    <t>cwt_average_distance_to_water_point</t>
  </si>
  <si>
    <t>cwt_who_performance_classification</t>
  </si>
  <si>
    <t>cwt_expected_technical_life</t>
  </si>
  <si>
    <t>Pump Type</t>
  </si>
  <si>
    <t>cwt_pump_type</t>
  </si>
  <si>
    <t>Boolean</t>
  </si>
  <si>
    <t>Backup Engine Installed?</t>
  </si>
  <si>
    <t>cwt_backup_engine_installed</t>
  </si>
  <si>
    <t>cwt_power_source_details</t>
  </si>
  <si>
    <t>Maintenance &amp; Repair Plan</t>
  </si>
  <si>
    <t>cwt_maintenance_and_repair_plan</t>
  </si>
  <si>
    <t>Initial Water Quality Report</t>
  </si>
  <si>
    <t>ipfs://2bbb2f641b185f8956e87783d0e17083</t>
  </si>
  <si>
    <t>cwt_initial_water_quality_report</t>
  </si>
  <si>
    <t>If the Project Installation is</t>
  </si>
  <si>
    <t>Project Rehabilitation</t>
  </si>
  <si>
    <t>project_rehabilitation</t>
  </si>
  <si>
    <t>Is the Project Installation a Rehabilitation?</t>
  </si>
  <si>
    <t>is_rehabilitation</t>
  </si>
  <si>
    <t>Original installation date</t>
  </si>
  <si>
    <t>original_installation_date</t>
  </si>
  <si>
    <t>^[A-Za-z0-9 ,.!?()_\-/&amp;@#+%$'*":;=\\[\]{}|]*$</t>
  </si>
  <si>
    <t>Rehabilitation details (parts replaced, specifications)</t>
  </si>
  <si>
    <t>32e97d638d180ae2891292980b6921ff</t>
  </si>
  <si>
    <t>rehabilitation_details</t>
  </si>
  <si>
    <t>Rehabilitation date</t>
  </si>
  <si>
    <t>rehabilitation_date</t>
  </si>
  <si>
    <t>Maintenance and Repair Plan (PDF Only)</t>
  </si>
  <si>
    <t>ipfs://5a3da700b74e8adbe1df461c2f793866</t>
  </si>
  <si>
    <t>maintenance_repair_plan</t>
  </si>
  <si>
    <t>Evidence of non-operational period (minimum 3 months) (PDF Only)</t>
  </si>
  <si>
    <t>ipfs://e177d0f34e48cd307ac32747d1f592f8</t>
  </si>
  <si>
    <t>non_operational_evidence</t>
  </si>
  <si>
    <t>Description of Proposed Technology</t>
  </si>
  <si>
    <t>proposed_technology_description</t>
  </si>
  <si>
    <t>Upload Supporting Compliance D</t>
  </si>
  <si>
    <t>Upload Supporting Compliance Documents</t>
  </si>
  <si>
    <t>{"performance_test_documents":"ipfs://&lt;example&gt;","certification_document":"ipfs://&lt;example&gt;","replacement_policy_document":"ipfs://&lt;example&gt;"}</t>
  </si>
  <si>
    <t>Performance Test Documents (PDF Only)</t>
  </si>
  <si>
    <t>ipfs://7b8a6648b16dbb98af3a48ce3f761685</t>
  </si>
  <si>
    <t>performance_test_documents</t>
  </si>
  <si>
    <t>Certification Document Upload (PDF Only)</t>
  </si>
  <si>
    <t>ipfs://3ccb36780ecaabdfc8b6377787f6493e</t>
  </si>
  <si>
    <t>certification_document</t>
  </si>
  <si>
    <t>Replacement Policy Description (PDF Only)</t>
  </si>
  <si>
    <t>ipfs://1e3e5caf1815c1f9bd0de7998a253b0f</t>
  </si>
  <si>
    <t>replacement_policy_document</t>
  </si>
  <si>
    <t>GS MERSDW Project Design Document</t>
  </si>
  <si>
    <t>Basic Information</t>
  </si>
  <si>
    <t>{"field0":"example","field1":"2026-01-20"}</t>
  </si>
  <si>
    <t>basic_information</t>
  </si>
  <si>
    <t>Version number of the PDD</t>
  </si>
  <si>
    <t>Completion date of PDD version</t>
  </si>
  <si>
    <t>field1</t>
  </si>
  <si>
    <t>{"project_name":"example","intended_start_date":"2026-01-20","intended_completion_date":"2026-01-20","project_status":"New","project_status_description":"example","project_scale":"Small"}</t>
  </si>
  <si>
    <t>80f428ec1b495df010b50347b50546c4</t>
  </si>
  <si>
    <t>b8d4efaef2e5afc5e2c40ef74c92f295</t>
  </si>
  <si>
    <t>{"country":{"country":"Afghanistan"},"state_region_province":"example","city_village":"example","postal_code":"example","urban_rural_classification":"Urban","project_location":{"type":"Point","coordinates":[0,0]},"gps_latitude":"0","gps_longitude":"0"}</t>
  </si>
  <si>
    <t>project_location_details</t>
  </si>
  <si>
    <t>901b0d1561503863586255c3f25c3c52</t>
  </si>
  <si>
    <t>5ed62da8b3474a59bb811c9c7d213722</t>
  </si>
  <si>
    <t>a0e41f24c5b1e20bcc90cb53d0fb2b0f</t>
  </si>
  <si>
    <t>fa714784f1629d6340b52315919c3fce</t>
  </si>
  <si>
    <t>9831e8f16ea1da07dd5a11d5a0b95829</t>
  </si>
  <si>
    <t>{"pd_entity_name":"example","pd_email_address":"example@example.example","contact_full_name":"example example","phone_primary":"+11111111","phone_secondary":"+11111111","physical_address":"example","website":"example.example","years_of_experience":1}</t>
  </si>
  <si>
    <t>f3453d729265e2b05485558aec94b50c</t>
  </si>
  <si>
    <t>7d908e934d429fd383746c14b85d998d</t>
  </si>
  <si>
    <t>0139557b7f8c9fa1e385a0ab1297e437</t>
  </si>
  <si>
    <t>cb24c3e6e29e0cec0568667335e6cd9a</t>
  </si>
  <si>
    <t>3d0c5dc866a6ef8c61a9e06bcb772d4d</t>
  </si>
  <si>
    <t>Water Treatment Technology - P</t>
  </si>
  <si>
    <t>{"field0":{"treatment_technology_category":"CWT, CWS","cwt_treatment_subtype":{"treatment_subtype_cwt_cws":"Borehole with Distribution"},"cwt_manufacturer_name":"example","cwt_product_name":"example","cwt_daily_maximum_output":"example","cwt_number_of_eligible_households":1,"cwt_average_distance_to_water_point":1,"cwt_who_performance_classification":"example","cwt_expected_technical_life":"example","cwt_pump_type":"example","cwt_backup_engine_installed":true,"cwt_power_source_details":"example","cwt_maintenance_and_repair_plan":"example","cwt_initial_water_quality_report":"ipfs://&lt;example&gt;","project_rehabilitation":{"is_rehabilitation":true,"original_installation_date":"2026-01-20","rehabilitation_details":"example","rehabilitation_date":"2026-01-20","maintenance_repair_plan":"ipfs://&lt;example&gt;","non_operational_evidence":"ipfs://&lt;example&gt;"},"maintenance_plan":{"maintenance_plan_description":"example","responsible_party":"example","logging_system":"example","downtime_recording_method":"example","maintenance_attachment_pdf":"ipfs://&lt;example&gt;"}},"proposed_technology_description":"example"}</t>
  </si>
  <si>
    <t>Water Treatment Technology  2</t>
  </si>
  <si>
    <t>Treatment Technology 3 (enum)</t>
  </si>
  <si>
    <t>ipfs://78c7b8d921c840b417c7cf04869e0bf6</t>
  </si>
  <si>
    <t>202c1071de7c9374bf688c5d005d8573</t>
  </si>
  <si>
    <t>ipfs://0b3389d2a3d07940d8bf94ede844fd35</t>
  </si>
  <si>
    <t>ipfs://ca160c9ff8a8983687d70337069cbde9</t>
  </si>
  <si>
    <t>Maintenance Plan for CWTCWS</t>
  </si>
  <si>
    <t>Maintenance Plan</t>
  </si>
  <si>
    <t>maintenance_plan</t>
  </si>
  <si>
    <t>Maintenance Plan Description</t>
  </si>
  <si>
    <t>maintenance_plan_description</t>
  </si>
  <si>
    <t>Responsible Party</t>
  </si>
  <si>
    <t>responsible_party</t>
  </si>
  <si>
    <t>Logging System</t>
  </si>
  <si>
    <t>logging_system</t>
  </si>
  <si>
    <t>Downtime Recording Method</t>
  </si>
  <si>
    <t>downtime_recording_method</t>
  </si>
  <si>
    <t>Attachment Upload (PDF only, &lt; 20 MB)</t>
  </si>
  <si>
    <t>ipfs://deaaf113e964d99c9b100e09510341a5</t>
  </si>
  <si>
    <t>maintenance_attachment_pdf</t>
  </si>
  <si>
    <t>Replacement Strategy Details</t>
  </si>
  <si>
    <t>Replacement Strategy</t>
  </si>
  <si>
    <t>{"replacement_strategy":"example","replacement_trigger":"example","replacement_technology":"example","replacement_attachment":"ipfs://&lt;example&gt;"}</t>
  </si>
  <si>
    <t>replacement_strategy</t>
  </si>
  <si>
    <t>Replacement strategy used when technical life is less than the crediting period</t>
  </si>
  <si>
    <t>Units replaced every 3 years</t>
  </si>
  <si>
    <t>Condition or event that triggers the replacement</t>
  </si>
  <si>
    <t>Filter clogging or drop-in flow rate</t>
  </si>
  <si>
    <t>replacement_trigger</t>
  </si>
  <si>
    <t>Technology or component used for replacement</t>
  </si>
  <si>
    <t>Filter cartridge type B</t>
  </si>
  <si>
    <t>replacement_technology</t>
  </si>
  <si>
    <t>Attachment upload (PDF only, maximum file size 20 MB)</t>
  </si>
  <si>
    <t>ipfs://&lt;uploaded_file_hash&gt;</t>
  </si>
  <si>
    <t>replacement_attachment</t>
  </si>
  <si>
    <t>Methodologies and Standardized</t>
  </si>
  <si>
    <t>Methodologies and Standardized Baselines</t>
  </si>
  <si>
    <t>{"baseline_water_source":{"water_source_type":"example","water_source_classification":"Improved","water_quality_baseline_test":"ipfs://&lt;example&gt;","baseline_data_source_reference":"ipfs://&lt;example&gt;","survey_evidence":"ipfs://&lt;example&gt;","baseline_treatment_method":"Boiling","other_related_documents":"ipfs://&lt;example&gt;"},"estimated_baseline_calculation":{"estimated_baseline_emissions":1,"estimated_project_emissions":1,"estimated_leakage_emissions":1,"estimated_net_ghg_reductions":null}}</t>
  </si>
  <si>
    <t>methodologies_and_standardized_baselines</t>
  </si>
  <si>
    <t>Water Source Baseline Details</t>
  </si>
  <si>
    <t>Baseline Water Source</t>
  </si>
  <si>
    <t>baseline_water_source</t>
  </si>
  <si>
    <t>Water source type</t>
  </si>
  <si>
    <t>water_source_type</t>
  </si>
  <si>
    <t>Water source classifica (enum)</t>
  </si>
  <si>
    <t>Water source classification</t>
  </si>
  <si>
    <t>Improved</t>
  </si>
  <si>
    <t>water_source_classification</t>
  </si>
  <si>
    <t>Water quality baseline test results</t>
  </si>
  <si>
    <t>ipfs://e3d43c2fffde7fce77dfd1dc7a68a75a</t>
  </si>
  <si>
    <t>water_quality_baseline_test</t>
  </si>
  <si>
    <t>Data source reference</t>
  </si>
  <si>
    <t>ipfs://c1a0b3f5207432d2bf9c494dacffad2e</t>
  </si>
  <si>
    <t>baseline_data_source_reference</t>
  </si>
  <si>
    <t>Survey evidence</t>
  </si>
  <si>
    <t>ipfs://456ede7654f9cc6092a148fd44a4d6b3</t>
  </si>
  <si>
    <t>survey_evidence</t>
  </si>
  <si>
    <t>Baseline treatment meth (enum)</t>
  </si>
  <si>
    <t>Baseline treatment method</t>
  </si>
  <si>
    <t>Boiling</t>
  </si>
  <si>
    <t>baseline_treatment_method</t>
  </si>
  <si>
    <t>Specify the treatment method if Other is selected</t>
  </si>
  <si>
    <t>Other related documents</t>
  </si>
  <si>
    <t>ipfs://a99f786c2db898025af44c49f9ffa1a9</t>
  </si>
  <si>
    <t>other_related_documents</t>
  </si>
  <si>
    <t>Estimated Baseline Calculation</t>
  </si>
  <si>
    <t>estimated_baseline_calculation</t>
  </si>
  <si>
    <t>Estimated baseline emissions or removals. Refer to the Emission Reduction Calculation Table.</t>
  </si>
  <si>
    <t>estimated_baseline_emissions</t>
  </si>
  <si>
    <t>Estimated project emissions or removals. Refer to the Emission Reduction Calculation Table.</t>
  </si>
  <si>
    <t>estimated_project_emissions</t>
  </si>
  <si>
    <t>Estimated leakage emissions. Refer to the Emission Reduction Calculation Table.</t>
  </si>
  <si>
    <t>estimated_leakage_emissions</t>
  </si>
  <si>
    <t>Hidden</t>
  </si>
  <si>
    <t>Calculated as ER_y = BE_y - PE_y - LE_y. Represents the verified CO₂ emissions avoided.</t>
  </si>
  <si>
    <t>estimated_net_ghg_reductions</t>
  </si>
  <si>
    <t>Project Crediting Period Detai</t>
  </si>
  <si>
    <t>Project Crediting Period Details</t>
  </si>
  <si>
    <t>{"intended_start_date":"2026-01-20","project_crediting_period":{"from":"2026-02-17","to":"2028-08-09"},"duration_of_crediting_period":null,"type_of_crediting_period":"Fixed"}</t>
  </si>
  <si>
    <t>project_crediting_period_details</t>
  </si>
  <si>
    <t>Project Crediting Period</t>
  </si>
  <si>
    <t xml:space="preserve">Project Crediting Period </t>
  </si>
  <si>
    <t>project_crediting_period</t>
  </si>
  <si>
    <t>From</t>
  </si>
  <si>
    <t>from</t>
  </si>
  <si>
    <t>To</t>
  </si>
  <si>
    <t>to</t>
  </si>
  <si>
    <t xml:space="preserve">Duration of crediting Period </t>
  </si>
  <si>
    <t>duration_of_crediting_period</t>
  </si>
  <si>
    <t>Type of crediting Perio (enum)</t>
  </si>
  <si>
    <t xml:space="preserve">Type of crediting Period </t>
  </si>
  <si>
    <t>Fixed</t>
  </si>
  <si>
    <t>type_of_crediting_period</t>
  </si>
  <si>
    <t>Project Boundary and Additiona</t>
  </si>
  <si>
    <t>Project Boundary and Additionality</t>
  </si>
  <si>
    <t>{"number_of_households_served":1,"number_of_institutions_served":1,"backup_fossil_fuel_engines":true,"grid_connection":true,"boundary_description":"example","demonstration_of_additionality":"example","supporting_documentation":"ipfs://&lt;example&gt;","field0":{"maintenance_frequency":"example","responsible_party":"example","spare_parts_list":"example","maintenance_sop_upload":"ipfs://&lt;example&gt;","downtime_recording_mechanism":"example"},"field1":{"campaign_type":"Training","target_audience":"example","planned_frequency":"example","hygiene_topics_covered":"example","baseline_hygiene_status":"example","training_materials":"ipfs://&lt;example&gt;"}}</t>
  </si>
  <si>
    <t>project_boundary_and_additionality</t>
  </si>
  <si>
    <t>Integer</t>
  </si>
  <si>
    <t>No. of Households Served</t>
  </si>
  <si>
    <t>number_of_households_served</t>
  </si>
  <si>
    <t>No. of Institutions Served</t>
  </si>
  <si>
    <t>number_of_institutions_served</t>
  </si>
  <si>
    <t>Indicates whether backup fossil fuel engines are used</t>
  </si>
  <si>
    <t>backup_fossil_fuel_engines</t>
  </si>
  <si>
    <t>Indicates whether the project has a grid connection</t>
  </si>
  <si>
    <t>grid_connection</t>
  </si>
  <si>
    <t>Description of the project boundary</t>
  </si>
  <si>
    <t>boundary_description</t>
  </si>
  <si>
    <t>Explanation demonstrating project additionality</t>
  </si>
  <si>
    <t>demonstration_of_additionality</t>
  </si>
  <si>
    <t>Upload supporting documentation</t>
  </si>
  <si>
    <t>ipfs://939f9139a4538124861497f5e188f3ed</t>
  </si>
  <si>
    <t>supporting_documentation</t>
  </si>
  <si>
    <t>Maintenance and Operation Plan</t>
  </si>
  <si>
    <t>Maintenance frequency</t>
  </si>
  <si>
    <t>maintenance_frequency</t>
  </si>
  <si>
    <t>Responsible party for maintenance</t>
  </si>
  <si>
    <t>List of spare parts</t>
  </si>
  <si>
    <t>spare_parts_list</t>
  </si>
  <si>
    <t>Maintenance SOP upload</t>
  </si>
  <si>
    <t>ipfs://&lt;maintenance_sop&gt;</t>
  </si>
  <si>
    <t>maintenance_sop_upload</t>
  </si>
  <si>
    <t>Downtime recording mechanism description</t>
  </si>
  <si>
    <t>downtime_recording_mechanism</t>
  </si>
  <si>
    <t>Hygiene Awareness Campaign</t>
  </si>
  <si>
    <t>Hygiene Campaign Plan</t>
  </si>
  <si>
    <t>Campaign type (enum)</t>
  </si>
  <si>
    <t>Campaign type</t>
  </si>
  <si>
    <t>Training</t>
  </si>
  <si>
    <t>campaign_type</t>
  </si>
  <si>
    <t>Target audience</t>
  </si>
  <si>
    <t>target_audience</t>
  </si>
  <si>
    <t>Planned frequency</t>
  </si>
  <si>
    <t>planned_frequency</t>
  </si>
  <si>
    <t>Hygiene topics covered</t>
  </si>
  <si>
    <t>hygiene_topics_covered</t>
  </si>
  <si>
    <t>Baseline hygiene status</t>
  </si>
  <si>
    <t>baseline_hygiene_status</t>
  </si>
  <si>
    <t>Training materials upload</t>
  </si>
  <si>
    <t>ipfs://fbae54d0c83f955e324e086780d457bc</t>
  </si>
  <si>
    <t>training_materials</t>
  </si>
  <si>
    <t>Host Country Regulatory Framew</t>
  </si>
  <si>
    <t>Host Country Regulatory Framework</t>
  </si>
  <si>
    <t>{"national_regulations_summary":"example","sub_national_regulations":"example","local_regulations":"example","tariff_requirements":"example","compliance_statement":"example","attachment_upload":null}</t>
  </si>
  <si>
    <t>host_country_regulatory_framework</t>
  </si>
  <si>
    <t>National Regulations Summary</t>
  </si>
  <si>
    <t>national_regulations_summary</t>
  </si>
  <si>
    <t>Sub-national Regulations</t>
  </si>
  <si>
    <t>sub_national_regulations</t>
  </si>
  <si>
    <t>Local Regulations</t>
  </si>
  <si>
    <t>local_regulations</t>
  </si>
  <si>
    <t>Tariff Requirements</t>
  </si>
  <si>
    <t>tariff_requirements</t>
  </si>
  <si>
    <t>Compliance Statement</t>
  </si>
  <si>
    <t>compliance_statement</t>
  </si>
  <si>
    <t>Attachment Upload (PDF, max 20 MB)</t>
  </si>
  <si>
    <t>ipfs://5e0d26b05ab29899d4cf67c8da606c65</t>
  </si>
  <si>
    <t>attachment_upload</t>
  </si>
  <si>
    <t>Monitoring Plan Summary</t>
  </si>
  <si>
    <t>{"monitoring_parameters":"example","source_of_data":"example","measurement_methods_description":"example","frequency_of_monitoring":"example","microbial_indicator":"example","monitoring_equipment":"example","sampling_approach":"example","qa_qc_procedures":"example","sampling_plan_upload":"ipfs://&lt;example&gt;","supporting_files_upload":"ipfs://&lt;example&gt;"}</t>
  </si>
  <si>
    <t>monitoring_plan_summary</t>
  </si>
  <si>
    <t>Monitoring Parameters</t>
  </si>
  <si>
    <t>monitoring_parameters</t>
  </si>
  <si>
    <t>Source of Data</t>
  </si>
  <si>
    <t>source_of_data</t>
  </si>
  <si>
    <t>Description of Measurement Methods and Procedures to be Applied</t>
  </si>
  <si>
    <t>measurement_methods_description</t>
  </si>
  <si>
    <t>Frequency of Monitoring</t>
  </si>
  <si>
    <t>frequency_of_monitoring</t>
  </si>
  <si>
    <t>Microbial Indicator</t>
  </si>
  <si>
    <t>microbial_indicator</t>
  </si>
  <si>
    <t>Monitoring Equipment</t>
  </si>
  <si>
    <t>monitoring_equipment</t>
  </si>
  <si>
    <t>Sampling Approach/Plan</t>
  </si>
  <si>
    <t>sampling_approach</t>
  </si>
  <si>
    <t>QA/QC Procedures to be Applied</t>
  </si>
  <si>
    <t>qa_qc_procedures</t>
  </si>
  <si>
    <t>Sampling Plan (Only PDF, &lt;20 MB)</t>
  </si>
  <si>
    <t>ipfs://87ee2c5cb09ce2e527d98be34f451d1a</t>
  </si>
  <si>
    <t>sampling_plan_upload</t>
  </si>
  <si>
    <t>Supporting Files (Only PDF, &lt;20 MB)</t>
  </si>
  <si>
    <t>ipfs://c60ad527aa8cd5c3354b1c2bb8245d09</t>
  </si>
  <si>
    <t>supporting_files_upload</t>
  </si>
  <si>
    <t>Sub-Schema</t>
  </si>
  <si>
    <t>7f7741cb3b0e55566b4900fef2eaadea</t>
  </si>
  <si>
    <t>b2299cf9cd402d3512b5c97a81954d92</t>
  </si>
  <si>
    <t>ipfs://d7b99a58a77bed3b51f4a9ee49320b40</t>
  </si>
  <si>
    <t>ipfs://8382c5bb69607c5cb70d3d6d56e42e34</t>
  </si>
  <si>
    <t>f5f9afd6553dd41fac5d3f69b283bb2c</t>
  </si>
  <si>
    <t>ipfs://1d0a69b6cce47473854c8a5eb0c6c6f5</t>
  </si>
  <si>
    <t>ipfs://2cd15ae05aa8705d5bccbfa06d4eec6b</t>
  </si>
  <si>
    <t>If the Project Installation is Rehabilitation</t>
  </si>
  <si>
    <t>95434f5df092550d5d1c3fb18c66177b</t>
  </si>
  <si>
    <t>ipfs://4f78b01f849483feabc55136a49c0f76</t>
  </si>
  <si>
    <t>ipfs://bfd519d3a25be7bbe22407018cc8d0d2</t>
  </si>
  <si>
    <t>506d512ad90dc6d73bddde7683cf336f</t>
  </si>
  <si>
    <t>6e0d869cf4a7f342f1f4ed2114764d55</t>
  </si>
  <si>
    <t>346a27656eb898276ae2e3d2f645b315</t>
  </si>
  <si>
    <t>d63b47fc05ed41415f335582fd58b4c4</t>
  </si>
  <si>
    <t>9cbe1b740252176c50ab0ed56938e081</t>
  </si>
  <si>
    <t>60b69f4e80b8d9eca31129eddc8b9432</t>
  </si>
  <si>
    <t>bf72d734a63a43d9f175a30a2cb9dc63</t>
  </si>
  <si>
    <t>c79044d00fb9a1837afe5b9d2fbeb6b8</t>
  </si>
  <si>
    <t>a713ebe96dcd0d5e3dadd5046e6372d4</t>
  </si>
  <si>
    <t>a11db3e19c05bdfa61a3437f7344136e</t>
  </si>
  <si>
    <t>ad7d1409fe3150e2e2444f3722d81a45</t>
  </si>
  <si>
    <t>0bbed60b671512951c5f6b518cf51a44</t>
  </si>
  <si>
    <t>fd16874d616acde2004ef0e4e6b29b24</t>
  </si>
  <si>
    <t>9fafcf66391ede029736266691e055d8</t>
  </si>
  <si>
    <t>ebc726a70f3147e7a314ec3dfd3d5f3a</t>
  </si>
  <si>
    <t>7ec8a02e8f0797a081d7b3f4d2895248</t>
  </si>
  <si>
    <t>8815875cf5c63c56c682012cdcdc9325</t>
  </si>
  <si>
    <t>f17784133fa2302a5139a7d86d3649d0</t>
  </si>
  <si>
    <t>ipfs://e171ba1e2900eba8b5972ba52327b4b2</t>
  </si>
  <si>
    <t>ipfs://b5042ffc13760669c94c4ff89e60829a</t>
  </si>
  <si>
    <t>ipfs://c8f9b643643961d72ab920987c6df405</t>
  </si>
  <si>
    <t>Water Treatment Technology - Category Details</t>
  </si>
  <si>
    <t>ipfs://2029affd96ec6e2081a127e87c3a8616</t>
  </si>
  <si>
    <t>a6adfd581856020074d8d7474bddeb47</t>
  </si>
  <si>
    <t>ipfs://fd80a65a861d263f4b5a55ec4b702b25</t>
  </si>
  <si>
    <t>ipfs://24c2f8fe1da0ef9530ffe64fb59c8b56</t>
  </si>
  <si>
    <t>Treatment Technology Sub-type (CWT, CWS)</t>
  </si>
  <si>
    <t>Treatment Technology Sub-type (HWT, IWT)</t>
  </si>
  <si>
    <t>Details related to technology replacement strategy during the crediting period</t>
  </si>
  <si>
    <t>Emission estimates for the project</t>
  </si>
  <si>
    <t>Water source baseline information</t>
  </si>
  <si>
    <t>ipfs://4685a1be8d697e514c7b572552e36b2e</t>
  </si>
  <si>
    <t>ipfs://98dd04cc9a90edcc5dd35696d9010d73</t>
  </si>
  <si>
    <t>ipfs://b3723e6d85f6c228873698b09bf7fadf</t>
  </si>
  <si>
    <t>ipfs://cd575d02b2ddce70061edb36b20c1aea</t>
  </si>
  <si>
    <t>ipfs://ae72fdb5c011bb332c44dbb7359bb211</t>
  </si>
  <si>
    <t>ipfs://96ab448de3099f79194ca56899fc4585</t>
  </si>
  <si>
    <t>ipfs://c7611c75566866e760336a959aad12b7</t>
  </si>
  <si>
    <t>ipfs://e42e40a0d4924ffce6a43242e4c9b10c</t>
  </si>
  <si>
    <t>Project start and crediting period information</t>
  </si>
  <si>
    <t>Details about maintenance frequency, responsible party, spare parts, SOP, and downtime recording</t>
  </si>
  <si>
    <t>Details about hygiene awareness campaign, target audience, topics, and materials</t>
  </si>
  <si>
    <t>ipfs://9e693e992e1ebc0378cd6bab6d07bdd7</t>
  </si>
  <si>
    <t>Project Boundary and Additionality Details</t>
  </si>
  <si>
    <t>ipfs://a89cfb7699b0b5e36a231e67fb65ecc0</t>
  </si>
  <si>
    <t>ipfs://7a0ce85954a717028efb1067544b5ec7</t>
  </si>
  <si>
    <t>ipfs://ed97cd830aefa9dd50051ebc7a24e921</t>
  </si>
  <si>
    <t>ipfs://d5317114dc3063988eda37a8123c69c8</t>
  </si>
  <si>
    <t>ipfs://90e98173dae88266447280876f0f6e1a</t>
  </si>
  <si>
    <t>Water Treatment Technology - PDD</t>
  </si>
  <si>
    <t>ipfs://beb3b05f610fed17ac91dcc593e06b04</t>
  </si>
  <si>
    <t>5f411af51ef10392639d5f1c6da38b91</t>
  </si>
  <si>
    <t>ipfs://ecbd54581b9142d5391ac1727d3e47d7</t>
  </si>
  <si>
    <t>ipfs://1731f991b445a03218f756341eb9a10c</t>
  </si>
  <si>
    <t>ipfs://7f066b12d20298fd29cdadee80b631ae</t>
  </si>
  <si>
    <t>Water Treatment Technology - Category Details - PDD</t>
  </si>
  <si>
    <t>ipfs://4b117e27e2894814a0dd904cdba8bb9b</t>
  </si>
  <si>
    <t>ec297516159177901cbc7fdc331909e4</t>
  </si>
  <si>
    <t>ipfs://745aef13e3a460c02d91e77963289b2e</t>
  </si>
  <si>
    <t>ipfs://7002c176d93f54c4f77e1276d23d8a4e</t>
  </si>
  <si>
    <t>ipfs://fdf06f995ada0b1b67a5cd797ec039de</t>
  </si>
  <si>
    <t>Maintenance Plan for CWT/CWS</t>
  </si>
  <si>
    <t>ipfs://f4ebd391526b469a57013b9568d6ebe7</t>
  </si>
  <si>
    <t>Schema name</t>
  </si>
  <si>
    <t>Field name</t>
  </si>
  <si>
    <t>Loaded to IPFS</t>
  </si>
  <si>
    <t>Energy &amp; Waste</t>
  </si>
  <si>
    <t>Transport</t>
  </si>
  <si>
    <t>Land‑use and Forests</t>
  </si>
  <si>
    <t>Renewable Energy Labelling</t>
  </si>
  <si>
    <t>Gold Standard Micro‑scale</t>
  </si>
  <si>
    <t>Gold Standard for Sustainable Urban Development</t>
  </si>
  <si>
    <t>Energy distribution</t>
  </si>
  <si>
    <t>Energy demand</t>
  </si>
  <si>
    <t>Manufacturing industries</t>
  </si>
  <si>
    <t>Chemical industry</t>
  </si>
  <si>
    <t>Construction</t>
  </si>
  <si>
    <t>Mining / Mineral production</t>
  </si>
  <si>
    <t>Metal production</t>
  </si>
  <si>
    <t>Fugitive emissions from fuels (solid, oil, and gas)</t>
  </si>
  <si>
    <t>Fugitive emissions from production and consumption of halocarbons and sulphur hexafluoride</t>
  </si>
  <si>
    <t>Solvents use</t>
  </si>
  <si>
    <t>Waste handling and disposal</t>
  </si>
  <si>
    <t>Afforestation and reforestation</t>
  </si>
  <si>
    <t>Agriculture</t>
  </si>
  <si>
    <t>Carbon capture and storage</t>
  </si>
  <si>
    <t>Afghanistan</t>
  </si>
  <si>
    <t>Akrotiri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</si>
  <si>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</si>
  <si>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</si>
  <si>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</si>
  <si>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</si>
  <si>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</si>
  <si>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</si>
  <si>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</si>
  <si>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</si>
  <si>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</si>
  <si>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</si>
  <si>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</si>
  <si>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</si>
  <si>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</si>
  <si>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</si>
  <si>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</si>
  <si>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</si>
  <si>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</si>
  <si>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</si>
  <si>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</si>
  <si>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</si>
  <si>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</si>
  <si>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</si>
  <si>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</si>
  <si>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</si>
  <si>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</si>
  <si>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</si>
  <si>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</si>
  <si>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</si>
  <si>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</si>
  <si>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</si>
  <si>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</si>
  <si>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</si>
  <si>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</si>
  <si>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</si>
  <si>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</si>
  <si>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</si>
  <si>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</si>
  <si>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</si>
  <si>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Caribbean Netherlands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</si>
  <si>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</si>
  <si>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</si>
  <si>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</si>
  <si>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</si>
  <si>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</si>
  <si>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</si>
  <si>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</si>
  <si>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</si>
  <si>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</si>
  <si>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Cook Islands</t>
  </si>
  <si>
    <t>Costa Rica</t>
  </si>
  <si>
    <t>Croatia</t>
  </si>
  <si>
    <t>Cuba</t>
  </si>
  <si>
    <t>Curaçao</t>
  </si>
  <si>
    <t>Cyprus</t>
  </si>
  <si>
    <t>Czech Republic</t>
  </si>
  <si>
    <t>Democratic Republic of the Congo</t>
  </si>
  <si>
    <t>Denmark</t>
  </si>
  <si>
    <t>Dhekelia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</si>
  <si>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</si>
  <si>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</si>
  <si>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</si>
  <si>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</si>
  <si>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</si>
  <si>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</si>
  <si>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</si>
  <si>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</si>
  <si>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</si>
  <si>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</si>
  <si>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</si>
  <si>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</t>
  </si>
  <si>
    <t>Faroe Islands</t>
  </si>
  <si>
    <t>Federated States of Micronesia</t>
  </si>
  <si>
    <t>Fiji</t>
  </si>
  <si>
    <t>Finland</t>
  </si>
  <si>
    <t>France</t>
  </si>
  <si>
    <t>French Guiana</t>
  </si>
  <si>
    <t>French Polynesia</t>
  </si>
  <si>
    <t>French Southern and Antarctic Lands</t>
  </si>
  <si>
    <t>Gabon</t>
  </si>
  <si>
    <t>Gaza Strip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</si>
  <si>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</si>
  <si>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</si>
  <si>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</si>
  <si>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</si>
  <si>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</si>
  <si>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</si>
  <si>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</si>
  <si>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</si>
  <si>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</si>
  <si>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</si>
  <si>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</si>
  <si>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</si>
  <si>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</si>
  <si>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</si>
  <si>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</si>
  <si>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</si>
  <si>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</si>
  <si>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</si>
  <si>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</si>
  <si>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</si>
  <si>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</si>
  <si>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</si>
  <si>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</si>
  <si>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</si>
  <si>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</si>
  <si>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</si>
  <si>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</si>
  <si>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</si>
  <si>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Ivory Coast</t>
  </si>
  <si>
    <t>Jamaica</t>
  </si>
  <si>
    <t>Japan</t>
  </si>
  <si>
    <t>Jersey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</si>
  <si>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</si>
  <si>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</si>
  <si>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</si>
  <si>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</si>
  <si>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</si>
  <si>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</si>
  <si>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</si>
  <si>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</si>
  <si>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</si>
  <si>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</si>
  <si>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</si>
  <si>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</si>
  <si>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</si>
  <si>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</si>
  <si>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</si>
  <si>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</si>
  <si>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</si>
  <si>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</si>
  <si>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</si>
  <si>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</si>
  <si>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</si>
  <si>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</si>
  <si>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</si>
  <si>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</si>
  <si>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</si>
  <si>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</si>
  <si>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</si>
  <si>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</si>
  <si>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</si>
  <si>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</si>
  <si>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</si>
  <si>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</si>
  <si>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</si>
  <si>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</si>
  <si>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</si>
  <si>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</si>
  <si>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</si>
  <si>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</si>
  <si>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</si>
  <si>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</si>
  <si>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</si>
  <si>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</si>
  <si>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</si>
  <si>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</si>
  <si>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</si>
  <si>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</si>
  <si>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</si>
  <si>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</si>
  <si>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</si>
  <si>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</si>
  <si>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</si>
  <si>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</si>
  <si>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</si>
  <si>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</si>
  <si>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</si>
  <si>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</si>
  <si>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</si>
  <si>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Paracel Islands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</si>
  <si>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</si>
  <si>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</si>
  <si>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</si>
  <si>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</si>
  <si>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</si>
  <si>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</si>
  <si>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</si>
  <si>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</si>
  <si>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Republic of the Congo</t>
  </si>
  <si>
    <t>Réunion</t>
  </si>
  <si>
    <t>Romania</t>
  </si>
  <si>
    <t>Russia</t>
  </si>
  <si>
    <t>Rwanda</t>
  </si>
  <si>
    <t>Saint Barthélemy</t>
  </si>
  <si>
    <t>Saint Helena, Ascension and Tristan da Cunha</t>
  </si>
  <si>
    <t>Saint Kitts and Nevis</t>
  </si>
  <si>
    <t>Saint Lucia</t>
  </si>
  <si>
    <t>Saint Pierre and Miquelon</t>
  </si>
  <si>
    <t>Saint Vincent and the Grenadines</t>
  </si>
  <si>
    <t>Saint-Martin</t>
  </si>
  <si>
    <t>Samoa</t>
  </si>
  <si>
    <t>San Marino</t>
  </si>
  <si>
    <t>São Tomé and Príncipe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</si>
  <si>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</si>
  <si>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</si>
  <si>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</si>
  <si>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</si>
  <si>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</si>
  <si>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</si>
  <si>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</si>
  <si>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</si>
  <si>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</si>
  <si>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</si>
  <si>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</si>
  <si>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</si>
  <si>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</si>
  <si>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Korea</t>
  </si>
  <si>
    <t>South Sudan</t>
  </si>
  <si>
    <t>Spain</t>
  </si>
  <si>
    <t>Sudan</t>
  </si>
  <si>
    <t>Suriname</t>
  </si>
  <si>
    <t>Svalbard and Jan Mayen</t>
  </si>
  <si>
    <t>Sweden</t>
  </si>
  <si>
    <t>Switzerland</t>
  </si>
  <si>
    <t>Syria</t>
  </si>
  <si>
    <t>Taiwan</t>
  </si>
  <si>
    <t>Tajikistan</t>
  </si>
  <si>
    <t>Tanzania</t>
  </si>
  <si>
    <t>Thailand</t>
  </si>
  <si>
    <t>The Bahamas</t>
  </si>
  <si>
    <t>The Gambia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</si>
  <si>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</si>
  <si>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</si>
  <si>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</si>
  <si>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</si>
  <si>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</si>
  <si>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</si>
  <si>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</si>
  <si>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</si>
  <si>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</si>
  <si>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</si>
  <si>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</si>
  <si>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</si>
  <si>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</si>
  <si>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</si>
  <si>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</si>
  <si>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</si>
  <si>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United States Virgin Islands</t>
  </si>
  <si>
    <t>Uruguay</t>
  </si>
  <si>
    <t>Uzbekistan</t>
  </si>
  <si>
    <t>Vanuatu</t>
  </si>
  <si>
    <t>Vatican City</t>
  </si>
  <si>
    <t>Venezuela</t>
  </si>
  <si>
    <t>Vietnam</t>
  </si>
  <si>
    <t>Wallis and Futuna</t>
  </si>
  <si>
    <t>West Bank</t>
  </si>
  <si>
    <t>Western Sahara</t>
  </si>
  <si>
    <t>Yemen</t>
  </si>
  <si>
    <t>Zambia</t>
  </si>
  <si>
    <t>Zimbabwe</t>
  </si>
  <si>
    <t>NGO</t>
  </si>
  <si>
    <t>Government Body</t>
  </si>
  <si>
    <t>Research Institute</t>
  </si>
  <si>
    <t>Other</t>
  </si>
  <si>
    <t>Rural</t>
  </si>
  <si>
    <t>Rehabilitated</t>
  </si>
  <si>
    <t>In Progress</t>
  </si>
  <si>
    <t>Medium</t>
  </si>
  <si>
    <t>Large</t>
  </si>
  <si>
    <t>HWT, IWT</t>
  </si>
  <si>
    <t>Spring Protection System</t>
  </si>
  <si>
    <t>Surface Water Treatment Plant</t>
  </si>
  <si>
    <t>Rainwater Harvesting System</t>
  </si>
  <si>
    <t>Piped Water Distribution Network</t>
  </si>
  <si>
    <t>Other (specify)</t>
  </si>
  <si>
    <t>Bio sand Filters</t>
  </si>
  <si>
    <t>Chlorine Dispensers</t>
  </si>
  <si>
    <t>UV Treatment Devices</t>
  </si>
  <si>
    <t>Solar Disinfection (SODIS)</t>
  </si>
  <si>
    <t>Unimproved</t>
  </si>
  <si>
    <t>Suppressed Demand</t>
  </si>
  <si>
    <t>Renewable</t>
  </si>
  <si>
    <t>Workshop</t>
  </si>
  <si>
    <t>Leaflet</t>
  </si>
  <si>
    <t>School 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</si>
</sst>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sz val="11"/>
    </font>
    <font>
      <u/>
      <color rgb="FF0000FF"/>
      <sz val="11"/>
    </font>
  </fonts>
  <fills count="8">
    <fill>
      <patternFill patternType="none"/>
    </fill>
    <fill>
      <patternFill patternType="gray125"/>
    </fill>
    <fill>
      <patternFill patternType="solid">
        <fgColor rgb="FFD8E4BC"/>
      </patternFill>
    </fill>
    <fill>
      <patternFill patternType="solid">
        <fgColor rgb="FFFFFFFF"/>
      </patternFill>
    </fill>
    <fill>
      <patternFill patternType="solid">
        <fgColor rgb="FFFABF8F"/>
      </patternFill>
    </fill>
    <fill>
      <patternFill patternType="solid">
        <fgColor rgb="FFFDE9D9"/>
      </patternFill>
    </fill>
    <fill>
      <patternFill patternType="solid">
        <fgColor rgb="FFF2F2F2"/>
      </patternFill>
    </fill>
    <fill>
      <patternFill patternType="solid">
        <fgColor rgb="FFE2E2E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BBBBBB"/>
      </bottom>
      <diagonal/>
    </border>
    <border>
      <left style="dashed">
        <color rgb="FF888888"/>
      </left>
      <right style="dashed">
        <color rgb="FF888888"/>
      </right>
      <top/>
      <bottom style="thin">
        <color rgb="FFBBBBBB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3" borderId="1" xfId="0" applyFont="1" applyFill="1" applyBorder="1" applyAlignment="1">
      <alignment wrapText="1"/>
    </xf>
    <xf numFmtId="0" fontId="1" fillId="4" borderId="1" xfId="0" applyFont="1" applyFill="1" applyBorder="1"/>
    <xf numFmtId="0" fontId="2" fillId="5" borderId="2" xfId="0" applyFont="1" applyFill="1" applyBorder="1" applyAlignment="1">
      <alignment wrapText="1"/>
    </xf>
    <xf numFmtId="0" fontId="3" fillId="5" borderId="2" xfId="0" applyFont="1" applyFill="1" applyBorder="1" applyAlignment="1">
      <alignment wrapText="1"/>
    </xf>
    <xf numFmtId="0" fontId="2" fillId="6" borderId="3" xfId="0" applyFont="1" applyFill="1" applyBorder="1" applyAlignment="1">
      <alignment wrapText="1"/>
    </xf>
    <xf numFmtId="0" fontId="3" fillId="6" borderId="3" xfId="0" applyFont="1" applyFill="1" applyBorder="1" applyAlignment="1">
      <alignment wrapText="1"/>
    </xf>
    <xf numFmtId="0" fontId="2" fillId="7" borderId="3" xfId="0" applyFont="1" applyFill="1" applyBorder="1" applyAlignment="1">
      <alignment wrapText="1"/>
    </xf>
    <xf numFmtId="0" fontId="3" fillId="7" borderId="3" xfId="0" applyFont="1" applyFill="1" applyBorder="1" applyAlignment="1">
      <alignment wrapText="1"/>
    </xf>
    <xf numFmtId="0" fontId="1" fillId="0" borderId="1" xfId="0" applyFont="1" applyBorder="1"/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Country&apos;!A1" TargetMode="External"/><Relationship Id="rId2" Type="http://schemas.openxmlformats.org/officeDocument/2006/relationships/hyperlink" Target="#&apos;Country 2 (enum)&apos;!A3" TargetMode="External"/><Relationship Id="rId3" Type="http://schemas.openxmlformats.org/officeDocument/2006/relationships/hyperlink" Target="#&apos;Scope (enum)&apos;!A3" TargetMode="External"/><Relationship Id="rId4" Type="http://schemas.openxmlformats.org/officeDocument/2006/relationships/hyperlink" Target="#&apos;Accreditation Scope (enum)&apos;!A3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Entity Information&apos;!A1" TargetMode="External"/><Relationship Id="rId2" Type="http://schemas.openxmlformats.org/officeDocument/2006/relationships/hyperlink" Target="#&apos;Entity Type (enum)&apos;!A3" TargetMode="External"/><Relationship Id="rId3" Type="http://schemas.openxmlformats.org/officeDocument/2006/relationships/hyperlink" Target="#&apos;Contact Person Details&apos;!A1" TargetMode="External"/><Relationship Id="rId4" Type="http://schemas.openxmlformats.org/officeDocument/2006/relationships/hyperlink" Target="#&apos;Project Related Information&apos;!A1" TargetMode="External"/><Relationship Id="rId5" Type="http://schemas.openxmlformats.org/officeDocument/2006/relationships/hyperlink" Target="#&apos;Additional Information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roject Location Details&apos;!A1" TargetMode="External"/><Relationship Id="rId2" Type="http://schemas.openxmlformats.org/officeDocument/2006/relationships/hyperlink" Target="#&apos;Country&apos;!A1" TargetMode="External"/><Relationship Id="rId3" Type="http://schemas.openxmlformats.org/officeDocument/2006/relationships/hyperlink" Target="#&apos;Country 2 (enum)&apos;!A3" TargetMode="External"/><Relationship Id="rId4" Type="http://schemas.openxmlformats.org/officeDocument/2006/relationships/hyperlink" Target="#&apos;UrbanRural Classificati (enum)&apos;!A3" TargetMode="External"/><Relationship Id="rId5" Type="http://schemas.openxmlformats.org/officeDocument/2006/relationships/hyperlink" Target="#&apos;Project Developer Details&apos;!A1" TargetMode="External"/><Relationship Id="rId6" Type="http://schemas.openxmlformats.org/officeDocument/2006/relationships/hyperlink" Target="#&apos;Project Details&apos;!A1" TargetMode="External"/><Relationship Id="rId7" Type="http://schemas.openxmlformats.org/officeDocument/2006/relationships/hyperlink" Target="#&apos;Project Status (enum)&apos;!A3" TargetMode="External"/><Relationship Id="rId8" Type="http://schemas.openxmlformats.org/officeDocument/2006/relationships/hyperlink" Target="#&apos;The scale of the projec (enum)&apos;!A3" TargetMode="External"/><Relationship Id="rId9" Type="http://schemas.openxmlformats.org/officeDocument/2006/relationships/hyperlink" Target="#&apos;Water Treatment Technology&apos;!A1" TargetMode="External"/><Relationship Id="rId10" Type="http://schemas.openxmlformats.org/officeDocument/2006/relationships/hyperlink" Target="#&apos;Water Treatment Technology - C&apos;!A1" TargetMode="External"/><Relationship Id="rId11" Type="http://schemas.openxmlformats.org/officeDocument/2006/relationships/hyperlink" Target="#&apos;Treatment Technology Ca (enum)&apos;!A3" TargetMode="External"/><Relationship Id="rId12" Type="http://schemas.openxmlformats.org/officeDocument/2006/relationships/hyperlink" Target="#&apos;Treatment Technology Sub-ty 2&apos;!A1" TargetMode="External"/><Relationship Id="rId13" Type="http://schemas.openxmlformats.org/officeDocument/2006/relationships/hyperlink" Target="#&apos;Treatment Technology 2 (enum)&apos;!A3" TargetMode="External"/><Relationship Id="rId14" Type="http://schemas.openxmlformats.org/officeDocument/2006/relationships/hyperlink" Target="#&apos;Treatment Technology Sub-type&apos;!A1" TargetMode="External"/><Relationship Id="rId15" Type="http://schemas.openxmlformats.org/officeDocument/2006/relationships/hyperlink" Target="#&apos;Treatment Technology Su (enum)&apos;!A3" TargetMode="External"/><Relationship Id="rId16" Type="http://schemas.openxmlformats.org/officeDocument/2006/relationships/hyperlink" Target="#&apos;If the Project Installation is&apos;!A1" TargetMode="External"/><Relationship Id="rId17" Type="http://schemas.openxmlformats.org/officeDocument/2006/relationships/hyperlink" Target="#&apos;Upload Supporting Compliance D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Basic Information&apos;!A1" TargetMode="External"/><Relationship Id="rId2" Type="http://schemas.openxmlformats.org/officeDocument/2006/relationships/hyperlink" Target="#&apos;Project Details&apos;!A1" TargetMode="External"/><Relationship Id="rId3" Type="http://schemas.openxmlformats.org/officeDocument/2006/relationships/hyperlink" Target="#&apos;Project Status (enum)&apos;!A3" TargetMode="External"/><Relationship Id="rId4" Type="http://schemas.openxmlformats.org/officeDocument/2006/relationships/hyperlink" Target="#&apos;The scale of the projec (enum)&apos;!A3" TargetMode="External"/><Relationship Id="rId5" Type="http://schemas.openxmlformats.org/officeDocument/2006/relationships/hyperlink" Target="#&apos;Project Location Details&apos;!A1" TargetMode="External"/><Relationship Id="rId6" Type="http://schemas.openxmlformats.org/officeDocument/2006/relationships/hyperlink" Target="#&apos;Country&apos;!A1" TargetMode="External"/><Relationship Id="rId7" Type="http://schemas.openxmlformats.org/officeDocument/2006/relationships/hyperlink" Target="#&apos;Country 2 (enum)&apos;!A3" TargetMode="External"/><Relationship Id="rId8" Type="http://schemas.openxmlformats.org/officeDocument/2006/relationships/hyperlink" Target="#&apos;UrbanRural Classificati (enum)&apos;!A3" TargetMode="External"/><Relationship Id="rId9" Type="http://schemas.openxmlformats.org/officeDocument/2006/relationships/hyperlink" Target="#&apos;Project Developer Details&apos;!A1" TargetMode="External"/><Relationship Id="rId10" Type="http://schemas.openxmlformats.org/officeDocument/2006/relationships/hyperlink" Target="#&apos;Water Treatment Technology - P&apos;!A1" TargetMode="External"/><Relationship Id="rId11" Type="http://schemas.openxmlformats.org/officeDocument/2006/relationships/hyperlink" Target="#&apos;Water Treatment Technology  2&apos;!A1" TargetMode="External"/><Relationship Id="rId12" Type="http://schemas.openxmlformats.org/officeDocument/2006/relationships/hyperlink" Target="#&apos;Treatment Technology 3 (enum)&apos;!A3" TargetMode="External"/><Relationship Id="rId13" Type="http://schemas.openxmlformats.org/officeDocument/2006/relationships/hyperlink" Target="#&apos;Treatment Technology Sub-ty 2&apos;!A1" TargetMode="External"/><Relationship Id="rId14" Type="http://schemas.openxmlformats.org/officeDocument/2006/relationships/hyperlink" Target="#&apos;Treatment Technology 2 (enum)&apos;!A3" TargetMode="External"/><Relationship Id="rId15" Type="http://schemas.openxmlformats.org/officeDocument/2006/relationships/hyperlink" Target="#&apos;Treatment Technology Sub-type&apos;!A1" TargetMode="External"/><Relationship Id="rId16" Type="http://schemas.openxmlformats.org/officeDocument/2006/relationships/hyperlink" Target="#&apos;Treatment Technology Su (enum)&apos;!A3" TargetMode="External"/><Relationship Id="rId17" Type="http://schemas.openxmlformats.org/officeDocument/2006/relationships/hyperlink" Target="#&apos;If the Project Installation is&apos;!A1" TargetMode="External"/><Relationship Id="rId18" Type="http://schemas.openxmlformats.org/officeDocument/2006/relationships/hyperlink" Target="#&apos;Maintenance Plan for CWTCWS&apos;!A1" TargetMode="External"/><Relationship Id="rId19" Type="http://schemas.openxmlformats.org/officeDocument/2006/relationships/hyperlink" Target="#&apos;Replacement Strategy Details&apos;!A1" TargetMode="External"/><Relationship Id="rId20" Type="http://schemas.openxmlformats.org/officeDocument/2006/relationships/hyperlink" Target="#&apos;Methodologies and Standardized&apos;!A1" TargetMode="External"/><Relationship Id="rId21" Type="http://schemas.openxmlformats.org/officeDocument/2006/relationships/hyperlink" Target="#&apos;Water Source Baseline Details&apos;!A1" TargetMode="External"/><Relationship Id="rId22" Type="http://schemas.openxmlformats.org/officeDocument/2006/relationships/hyperlink" Target="#&apos;Water source classifica (enum)&apos;!A3" TargetMode="External"/><Relationship Id="rId23" Type="http://schemas.openxmlformats.org/officeDocument/2006/relationships/hyperlink" Target="#&apos;Baseline treatment meth (enum)&apos;!A3" TargetMode="External"/><Relationship Id="rId24" Type="http://schemas.openxmlformats.org/officeDocument/2006/relationships/hyperlink" Target="#&apos;Estimated Baseline Calculation&apos;!A1" TargetMode="External"/><Relationship Id="rId25" Type="http://schemas.openxmlformats.org/officeDocument/2006/relationships/hyperlink" Target="#&apos;Project Crediting Period Detai&apos;!A1" TargetMode="External"/><Relationship Id="rId26" Type="http://schemas.openxmlformats.org/officeDocument/2006/relationships/hyperlink" Target="#&apos;Project Crediting Period&apos;!A1" TargetMode="External"/><Relationship Id="rId27" Type="http://schemas.openxmlformats.org/officeDocument/2006/relationships/hyperlink" Target="#&apos;Type of crediting Perio (enum)&apos;!A3" TargetMode="External"/><Relationship Id="rId28" Type="http://schemas.openxmlformats.org/officeDocument/2006/relationships/hyperlink" Target="#&apos;Project Boundary and Additiona&apos;!A1" TargetMode="External"/><Relationship Id="rId29" Type="http://schemas.openxmlformats.org/officeDocument/2006/relationships/hyperlink" Target="#&apos;Maintenance and Operation Plan&apos;!A1" TargetMode="External"/><Relationship Id="rId30" Type="http://schemas.openxmlformats.org/officeDocument/2006/relationships/hyperlink" Target="#&apos;Hygiene Awareness Campaign&apos;!A1" TargetMode="External"/><Relationship Id="rId31" Type="http://schemas.openxmlformats.org/officeDocument/2006/relationships/hyperlink" Target="#&apos;Campaign type (enum)&apos;!A3" TargetMode="External"/><Relationship Id="rId32" Type="http://schemas.openxmlformats.org/officeDocument/2006/relationships/hyperlink" Target="#&apos;Host Country Regulatory Framew&apos;!A1" TargetMode="External"/><Relationship Id="rId33" Type="http://schemas.openxmlformats.org/officeDocument/2006/relationships/hyperlink" Target="#&apos;Monitoring Plan Summary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Country 2 (enum)&apos;!A3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Water Treatment Technology - C&apos;!A1" TargetMode="External"/><Relationship Id="rId2" Type="http://schemas.openxmlformats.org/officeDocument/2006/relationships/hyperlink" Target="#&apos;Treatment Technology Ca (enum)&apos;!A3" TargetMode="External"/><Relationship Id="rId3" Type="http://schemas.openxmlformats.org/officeDocument/2006/relationships/hyperlink" Target="#&apos;Treatment Technology Sub-ty 2&apos;!A1" TargetMode="External"/><Relationship Id="rId4" Type="http://schemas.openxmlformats.org/officeDocument/2006/relationships/hyperlink" Target="#&apos;Treatment Technology 2 (enum)&apos;!A3" TargetMode="External"/><Relationship Id="rId5" Type="http://schemas.openxmlformats.org/officeDocument/2006/relationships/hyperlink" Target="#&apos;Treatment Technology Sub-type&apos;!A1" TargetMode="External"/><Relationship Id="rId6" Type="http://schemas.openxmlformats.org/officeDocument/2006/relationships/hyperlink" Target="#&apos;Treatment Technology Su (enum)&apos;!A3" TargetMode="External"/><Relationship Id="rId7" Type="http://schemas.openxmlformats.org/officeDocument/2006/relationships/hyperlink" Target="#&apos;If the Project Installation is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Entity Type (enum)&apos;!A3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Country&apos;!A1" TargetMode="External"/><Relationship Id="rId2" Type="http://schemas.openxmlformats.org/officeDocument/2006/relationships/hyperlink" Target="#&apos;Country 2 (enum)&apos;!A3" TargetMode="External"/><Relationship Id="rId3" Type="http://schemas.openxmlformats.org/officeDocument/2006/relationships/hyperlink" Target="#&apos;UrbanRural Classificati (enum)&apos;!A3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Project Status (enum)&apos;!A3" TargetMode="External"/><Relationship Id="rId2" Type="http://schemas.openxmlformats.org/officeDocument/2006/relationships/hyperlink" Target="#&apos;The scale of the projec (enum)&apos;!A3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Treatment Technology Ca (enum)&apos;!A3" TargetMode="External"/><Relationship Id="rId2" Type="http://schemas.openxmlformats.org/officeDocument/2006/relationships/hyperlink" Target="#&apos;Treatment Technology Sub-ty 2&apos;!A1" TargetMode="External"/><Relationship Id="rId3" Type="http://schemas.openxmlformats.org/officeDocument/2006/relationships/hyperlink" Target="#&apos;Treatment Technology 2 (enum)&apos;!A3" TargetMode="External"/><Relationship Id="rId4" Type="http://schemas.openxmlformats.org/officeDocument/2006/relationships/hyperlink" Target="#&apos;Treatment Technology Sub-type&apos;!A1" TargetMode="External"/><Relationship Id="rId5" Type="http://schemas.openxmlformats.org/officeDocument/2006/relationships/hyperlink" Target="#&apos;Treatment Technology Su (enum)&apos;!A3" TargetMode="External"/><Relationship Id="rId6" Type="http://schemas.openxmlformats.org/officeDocument/2006/relationships/hyperlink" Target="#&apos;If the Project Installation is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Treatment Technology Su (enum)&apos;!A3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Treatment Technology 2 (enum)&apos;!A3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Water source classifica (enum)&apos;!A3" TargetMode="External"/><Relationship Id="rId2" Type="http://schemas.openxmlformats.org/officeDocument/2006/relationships/hyperlink" Target="#&apos;Baseline treatment meth (enum)&apos;!A3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Water Source Baseline Details&apos;!A1" TargetMode="External"/><Relationship Id="rId2" Type="http://schemas.openxmlformats.org/officeDocument/2006/relationships/hyperlink" Target="#&apos;Water source classifica (enum)&apos;!A3" TargetMode="External"/><Relationship Id="rId3" Type="http://schemas.openxmlformats.org/officeDocument/2006/relationships/hyperlink" Target="#&apos;Baseline treatment meth (enum)&apos;!A3" TargetMode="External"/><Relationship Id="rId4" Type="http://schemas.openxmlformats.org/officeDocument/2006/relationships/hyperlink" Target="#&apos;Estimated Baseline Calculation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Project Crediting Period&apos;!A1" TargetMode="External"/><Relationship Id="rId2" Type="http://schemas.openxmlformats.org/officeDocument/2006/relationships/hyperlink" Target="#&apos;Type of crediting Perio (enum)&apos;!A3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Campaign type (enum)&apos;!A3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Maintenance and Operation Plan&apos;!A1" TargetMode="External"/><Relationship Id="rId2" Type="http://schemas.openxmlformats.org/officeDocument/2006/relationships/hyperlink" Target="#&apos;Hygiene Awareness Campaign&apos;!A1" TargetMode="External"/><Relationship Id="rId3" Type="http://schemas.openxmlformats.org/officeDocument/2006/relationships/hyperlink" Target="#&apos;Campaign type (enum)&apos;!A3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Water Treatment Technology  2&apos;!A1" TargetMode="External"/><Relationship Id="rId2" Type="http://schemas.openxmlformats.org/officeDocument/2006/relationships/hyperlink" Target="#&apos;Treatment Technology 3 (enum)&apos;!A3" TargetMode="External"/><Relationship Id="rId3" Type="http://schemas.openxmlformats.org/officeDocument/2006/relationships/hyperlink" Target="#&apos;Treatment Technology Sub-ty 2&apos;!A1" TargetMode="External"/><Relationship Id="rId4" Type="http://schemas.openxmlformats.org/officeDocument/2006/relationships/hyperlink" Target="#&apos;Treatment Technology 2 (enum)&apos;!A3" TargetMode="External"/><Relationship Id="rId5" Type="http://schemas.openxmlformats.org/officeDocument/2006/relationships/hyperlink" Target="#&apos;Treatment Technology Sub-type&apos;!A1" TargetMode="External"/><Relationship Id="rId6" Type="http://schemas.openxmlformats.org/officeDocument/2006/relationships/hyperlink" Target="#&apos;Treatment Technology Su (enum)&apos;!A3" TargetMode="External"/><Relationship Id="rId7" Type="http://schemas.openxmlformats.org/officeDocument/2006/relationships/hyperlink" Target="#&apos;If the Project Installation is&apos;!A1" TargetMode="External"/><Relationship Id="rId8" Type="http://schemas.openxmlformats.org/officeDocument/2006/relationships/hyperlink" Target="#&apos;Maintenance Plan for CWTCWS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Treatment Technology 3 (enum)&apos;!A3" TargetMode="External"/><Relationship Id="rId2" Type="http://schemas.openxmlformats.org/officeDocument/2006/relationships/hyperlink" Target="#&apos;Treatment Technology Sub-ty 2&apos;!A1" TargetMode="External"/><Relationship Id="rId3" Type="http://schemas.openxmlformats.org/officeDocument/2006/relationships/hyperlink" Target="#&apos;Treatment Technology 2 (enum)&apos;!A3" TargetMode="External"/><Relationship Id="rId4" Type="http://schemas.openxmlformats.org/officeDocument/2006/relationships/hyperlink" Target="#&apos;Treatment Technology Sub-type&apos;!A1" TargetMode="External"/><Relationship Id="rId5" Type="http://schemas.openxmlformats.org/officeDocument/2006/relationships/hyperlink" Target="#&apos;Treatment Technology Su (enum)&apos;!A3" TargetMode="External"/><Relationship Id="rId6" Type="http://schemas.openxmlformats.org/officeDocument/2006/relationships/hyperlink" Target="#&apos;If the Project Installation is&apos;!A1" TargetMode="External"/><Relationship Id="rId7" Type="http://schemas.openxmlformats.org/officeDocument/2006/relationships/hyperlink" Target="#&apos;Maintenance Plan for CWTCWS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18</v>
      </c>
      <c r="F5" s="5" t="s">
        <v>19</v>
      </c>
      <c r="G5" s="5" t="s">
        <v>20</v>
      </c>
      <c r="H5" s="5" t="s">
        <v>21</v>
      </c>
      <c r="I5" s="5" t="s">
        <v>21</v>
      </c>
      <c r="J5" s="5" t="s">
        <v>22</v>
      </c>
    </row>
    <row r="6" spans="1:10" x14ac:dyDescent="0.25">
      <c r="A6" s="5" t="s">
        <v>15</v>
      </c>
      <c r="B6" s="6" t="s">
        <v>23</v>
      </c>
      <c r="C6" s="5" t="s">
        <v>21</v>
      </c>
      <c r="D6" s="5"/>
      <c r="E6" s="5" t="s">
        <v>24</v>
      </c>
      <c r="F6" s="5" t="s">
        <v>19</v>
      </c>
      <c r="G6" s="5" t="s">
        <v>25</v>
      </c>
      <c r="H6" s="5" t="s">
        <v>21</v>
      </c>
      <c r="I6" s="5" t="s">
        <v>21</v>
      </c>
      <c r="J6" s="5" t="s">
        <v>26</v>
      </c>
    </row>
    <row r="7" spans="1:10" x14ac:dyDescent="0.25" outlineLevel="1" collapsed="1">
      <c r="A7" s="7" t="s">
        <v>15</v>
      </c>
      <c r="B7" s="7" t="s">
        <v>27</v>
      </c>
      <c r="C7" s="8" t="s">
        <v>28</v>
      </c>
      <c r="D7" s="7"/>
      <c r="E7" s="7" t="s">
        <v>23</v>
      </c>
      <c r="F7" s="7" t="s">
        <v>19</v>
      </c>
      <c r="G7" s="7" t="s">
        <v>29</v>
      </c>
      <c r="H7" s="7" t="s">
        <v>21</v>
      </c>
      <c r="I7" s="7" t="s">
        <v>21</v>
      </c>
      <c r="J7" s="7" t="s">
        <v>30</v>
      </c>
    </row>
    <row r="8" spans="1:10" x14ac:dyDescent="0.25">
      <c r="A8" s="5" t="s">
        <v>15</v>
      </c>
      <c r="B8" s="5" t="s">
        <v>27</v>
      </c>
      <c r="C8" s="6" t="s">
        <v>31</v>
      </c>
      <c r="D8" s="5"/>
      <c r="E8" s="5" t="s">
        <v>32</v>
      </c>
      <c r="F8" s="5" t="s">
        <v>15</v>
      </c>
      <c r="G8" s="5" t="s">
        <v>33</v>
      </c>
      <c r="H8" s="5" t="s">
        <v>21</v>
      </c>
      <c r="I8" s="5" t="s">
        <v>21</v>
      </c>
      <c r="J8" s="5" t="s">
        <v>34</v>
      </c>
    </row>
    <row r="9" spans="1:10" x14ac:dyDescent="0.25">
      <c r="A9" s="5" t="s">
        <v>15</v>
      </c>
      <c r="B9" s="5" t="s">
        <v>27</v>
      </c>
      <c r="C9" s="6" t="s">
        <v>35</v>
      </c>
      <c r="D9" s="5"/>
      <c r="E9" s="5" t="s">
        <v>36</v>
      </c>
      <c r="F9" s="5" t="s">
        <v>15</v>
      </c>
      <c r="G9" s="5" t="s">
        <v>37</v>
      </c>
      <c r="H9" s="5" t="s">
        <v>21</v>
      </c>
      <c r="I9" s="5" t="s">
        <v>21</v>
      </c>
      <c r="J9" s="5" t="s">
        <v>38</v>
      </c>
    </row>
    <row r="10" spans="1:10" x14ac:dyDescent="0.25">
      <c r="A10" s="5" t="s">
        <v>15</v>
      </c>
      <c r="B10" s="5" t="s">
        <v>16</v>
      </c>
      <c r="C10" s="5" t="s">
        <v>39</v>
      </c>
      <c r="D10" s="5"/>
      <c r="E10" s="5" t="s">
        <v>40</v>
      </c>
      <c r="F10" s="5" t="s">
        <v>19</v>
      </c>
      <c r="G10" s="5" t="s">
        <v>41</v>
      </c>
      <c r="H10" s="5" t="s">
        <v>21</v>
      </c>
      <c r="I10" s="5" t="s">
        <v>21</v>
      </c>
      <c r="J10" s="5" t="s">
        <v>42</v>
      </c>
    </row>
    <row r="11" spans="1:10" x14ac:dyDescent="0.25">
      <c r="A11" s="5" t="s">
        <v>15</v>
      </c>
      <c r="B11" s="5" t="s">
        <v>43</v>
      </c>
      <c r="C11" s="5" t="s">
        <v>21</v>
      </c>
      <c r="D11" s="5"/>
      <c r="E11" s="5" t="s">
        <v>44</v>
      </c>
      <c r="F11" s="5" t="s">
        <v>19</v>
      </c>
      <c r="G11" s="5" t="s">
        <v>45</v>
      </c>
      <c r="H11" s="5" t="s">
        <v>21</v>
      </c>
      <c r="I11" s="5" t="s">
        <v>21</v>
      </c>
      <c r="J11" s="5" t="s">
        <v>46</v>
      </c>
    </row>
    <row r="12" spans="1:10" x14ac:dyDescent="0.25">
      <c r="A12" s="5" t="s">
        <v>15</v>
      </c>
      <c r="B12" s="5" t="s">
        <v>16</v>
      </c>
      <c r="C12" s="5" t="s">
        <v>47</v>
      </c>
      <c r="D12" s="5"/>
      <c r="E12" s="5" t="s">
        <v>48</v>
      </c>
      <c r="F12" s="5" t="s">
        <v>19</v>
      </c>
      <c r="G12" s="5" t="s">
        <v>41</v>
      </c>
      <c r="H12" s="5" t="s">
        <v>21</v>
      </c>
      <c r="I12" s="5" t="s">
        <v>21</v>
      </c>
      <c r="J12" s="5" t="s">
        <v>49</v>
      </c>
    </row>
    <row r="13" spans="1:10" x14ac:dyDescent="0.25">
      <c r="A13" s="5" t="s">
        <v>15</v>
      </c>
      <c r="B13" s="5" t="s">
        <v>16</v>
      </c>
      <c r="C13" s="5" t="s">
        <v>47</v>
      </c>
      <c r="D13" s="5"/>
      <c r="E13" s="5" t="s">
        <v>50</v>
      </c>
      <c r="F13" s="5" t="s">
        <v>19</v>
      </c>
      <c r="G13" s="5" t="s">
        <v>41</v>
      </c>
      <c r="H13" s="5" t="s">
        <v>21</v>
      </c>
      <c r="I13" s="5" t="s">
        <v>21</v>
      </c>
      <c r="J13" s="5" t="s">
        <v>51</v>
      </c>
    </row>
    <row r="14" spans="1:10" x14ac:dyDescent="0.25">
      <c r="A14" s="5" t="s">
        <v>15</v>
      </c>
      <c r="B14" s="5" t="s">
        <v>16</v>
      </c>
      <c r="C14" s="5" t="s">
        <v>52</v>
      </c>
      <c r="D14" s="5"/>
      <c r="E14" s="5" t="s">
        <v>53</v>
      </c>
      <c r="F14" s="5" t="s">
        <v>19</v>
      </c>
      <c r="G14" s="5" t="s">
        <v>54</v>
      </c>
      <c r="H14" s="5" t="s">
        <v>21</v>
      </c>
      <c r="I14" s="5" t="s">
        <v>21</v>
      </c>
      <c r="J14" s="5" t="s">
        <v>55</v>
      </c>
    </row>
    <row r="15" spans="1:10" x14ac:dyDescent="0.25">
      <c r="A15" s="5" t="s">
        <v>15</v>
      </c>
      <c r="B15" s="5" t="s">
        <v>56</v>
      </c>
      <c r="C15" s="5" t="s">
        <v>21</v>
      </c>
      <c r="D15" s="5"/>
      <c r="E15" s="5" t="s">
        <v>57</v>
      </c>
      <c r="F15" s="5" t="s">
        <v>19</v>
      </c>
      <c r="G15" s="5" t="s">
        <v>58</v>
      </c>
      <c r="H15" s="5" t="s">
        <v>21</v>
      </c>
      <c r="I15" s="5" t="s">
        <v>21</v>
      </c>
      <c r="J15" s="5" t="s">
        <v>59</v>
      </c>
    </row>
    <row r="16" spans="1:10" x14ac:dyDescent="0.25">
      <c r="A16" s="5" t="s">
        <v>15</v>
      </c>
      <c r="B16" s="5" t="s">
        <v>56</v>
      </c>
      <c r="C16" s="5" t="s">
        <v>21</v>
      </c>
      <c r="D16" s="5"/>
      <c r="E16" s="5" t="s">
        <v>60</v>
      </c>
      <c r="F16" s="5" t="s">
        <v>19</v>
      </c>
      <c r="G16" s="5" t="s">
        <v>58</v>
      </c>
      <c r="H16" s="5" t="s">
        <v>21</v>
      </c>
      <c r="I16" s="5" t="s">
        <v>21</v>
      </c>
      <c r="J16" s="5" t="s">
        <v>61</v>
      </c>
    </row>
    <row r="17" spans="1:10" x14ac:dyDescent="0.25">
      <c r="A17" s="5" t="s">
        <v>15</v>
      </c>
      <c r="B17" s="5" t="s">
        <v>56</v>
      </c>
      <c r="C17" s="5" t="s">
        <v>21</v>
      </c>
      <c r="D17" s="5"/>
      <c r="E17" s="5" t="s">
        <v>62</v>
      </c>
      <c r="F17" s="5" t="s">
        <v>19</v>
      </c>
      <c r="G17" s="5" t="s">
        <v>58</v>
      </c>
      <c r="H17" s="5" t="s">
        <v>21</v>
      </c>
      <c r="I17" s="5" t="s">
        <v>21</v>
      </c>
      <c r="J17" s="5" t="s">
        <v>63</v>
      </c>
    </row>
    <row r="18" spans="1:10" x14ac:dyDescent="0.25">
      <c r="A18" s="5" t="s">
        <v>15</v>
      </c>
      <c r="B18" s="5" t="s">
        <v>56</v>
      </c>
      <c r="C18" s="5" t="s">
        <v>21</v>
      </c>
      <c r="D18" s="5"/>
      <c r="E18" s="5" t="s">
        <v>64</v>
      </c>
      <c r="F18" s="5" t="s">
        <v>19</v>
      </c>
      <c r="G18" s="5" t="s">
        <v>58</v>
      </c>
      <c r="H18" s="5" t="s">
        <v>21</v>
      </c>
      <c r="I18" s="5" t="s">
        <v>21</v>
      </c>
      <c r="J18" s="5" t="s">
        <v>65</v>
      </c>
    </row>
    <row r="19" spans="1:10" x14ac:dyDescent="0.25">
      <c r="A19" s="5" t="s">
        <v>19</v>
      </c>
      <c r="B19" s="5" t="s">
        <v>56</v>
      </c>
      <c r="C19" s="5" t="s">
        <v>21</v>
      </c>
      <c r="D19" s="5"/>
      <c r="E19" s="5" t="s">
        <v>66</v>
      </c>
      <c r="F19" s="5" t="s">
        <v>19</v>
      </c>
      <c r="G19" s="5" t="s">
        <v>58</v>
      </c>
      <c r="H19" s="5" t="s">
        <v>21</v>
      </c>
      <c r="I19" s="5" t="s">
        <v>21</v>
      </c>
      <c r="J19" s="5" t="s">
        <v>67</v>
      </c>
    </row>
    <row r="20" spans="1:10" x14ac:dyDescent="0.25">
      <c r="A20" s="5" t="s">
        <v>19</v>
      </c>
      <c r="B20" s="5" t="s">
        <v>56</v>
      </c>
      <c r="C20" s="5" t="s">
        <v>21</v>
      </c>
      <c r="D20" s="5"/>
      <c r="E20" s="5" t="s">
        <v>68</v>
      </c>
      <c r="F20" s="5" t="s">
        <v>19</v>
      </c>
      <c r="G20" s="5" t="s">
        <v>58</v>
      </c>
      <c r="H20" s="5" t="s">
        <v>21</v>
      </c>
      <c r="I20" s="5" t="s">
        <v>21</v>
      </c>
      <c r="J20" s="5" t="s">
        <v>69</v>
      </c>
    </row>
  </sheetData>
  <mergeCells count="3">
    <mergeCell ref="A1:J1"/>
    <mergeCell ref="B2:J2"/>
    <mergeCell ref="B3:J3"/>
  </mergeCells>
  <dataValidations count="1">
    <dataValidation type="list" allowBlank="1" sqref="G7:I7">
      <formula1>'Country 2 (enum)'!A4:A256</formula1>
    </dataValidation>
  </dataValidations>
  <hyperlinks>
    <hyperlink ref="B6" r:id="rId1" location="#'Country'!A1"/>
    <hyperlink ref="C7" r:id="rId2" location="#'Country 2 (enum)'!A3"/>
    <hyperlink ref="C8" r:id="rId3" location="#'Scope (enum)'!A3"/>
    <hyperlink ref="C9" r:id="rId4" location="#'Accreditation Scope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71</v>
      </c>
      <c r="C5" s="5" t="s">
        <v>21</v>
      </c>
      <c r="D5" s="5"/>
      <c r="E5" s="5" t="s">
        <v>71</v>
      </c>
      <c r="F5" s="5" t="s">
        <v>19</v>
      </c>
      <c r="G5" s="5" t="s">
        <v>72</v>
      </c>
      <c r="H5" s="5" t="s">
        <v>21</v>
      </c>
      <c r="I5" s="5" t="s">
        <v>21</v>
      </c>
      <c r="J5" s="5" t="s">
        <v>73</v>
      </c>
    </row>
    <row r="6" spans="1:10" x14ac:dyDescent="0.25" outlineLevel="1" collapsed="1">
      <c r="A6" s="7" t="s">
        <v>15</v>
      </c>
      <c r="B6" s="7" t="s">
        <v>16</v>
      </c>
      <c r="C6" s="7" t="s">
        <v>17</v>
      </c>
      <c r="D6" s="7"/>
      <c r="E6" s="7" t="s">
        <v>18</v>
      </c>
      <c r="F6" s="7" t="s">
        <v>19</v>
      </c>
      <c r="G6" s="7" t="s">
        <v>74</v>
      </c>
      <c r="H6" s="7" t="s">
        <v>21</v>
      </c>
      <c r="I6" s="7" t="s">
        <v>21</v>
      </c>
      <c r="J6" s="7" t="s">
        <v>22</v>
      </c>
    </row>
    <row r="7" spans="1:10" x14ac:dyDescent="0.25" outlineLevel="1" collapsed="1">
      <c r="A7" s="7" t="s">
        <v>15</v>
      </c>
      <c r="B7" s="7" t="s">
        <v>27</v>
      </c>
      <c r="C7" s="8" t="s">
        <v>75</v>
      </c>
      <c r="D7" s="7"/>
      <c r="E7" s="7" t="s">
        <v>76</v>
      </c>
      <c r="F7" s="7" t="s">
        <v>19</v>
      </c>
      <c r="G7" s="7" t="s">
        <v>77</v>
      </c>
      <c r="H7" s="7" t="s">
        <v>21</v>
      </c>
      <c r="I7" s="7" t="s">
        <v>21</v>
      </c>
      <c r="J7" s="7" t="s">
        <v>78</v>
      </c>
    </row>
    <row r="8" spans="1:10" x14ac:dyDescent="0.25" outlineLevel="1" collapsed="1">
      <c r="A8" s="7" t="s">
        <v>15</v>
      </c>
      <c r="B8" s="7" t="s">
        <v>16</v>
      </c>
      <c r="C8" s="7" t="s">
        <v>39</v>
      </c>
      <c r="D8" s="7"/>
      <c r="E8" s="7" t="s">
        <v>79</v>
      </c>
      <c r="F8" s="7" t="s">
        <v>19</v>
      </c>
      <c r="G8" s="7" t="s">
        <v>80</v>
      </c>
      <c r="H8" s="7" t="s">
        <v>21</v>
      </c>
      <c r="I8" s="7" t="s">
        <v>21</v>
      </c>
      <c r="J8" s="7" t="s">
        <v>81</v>
      </c>
    </row>
    <row r="9" spans="1:10" x14ac:dyDescent="0.25" outlineLevel="1" collapsed="1">
      <c r="A9" s="7" t="s">
        <v>15</v>
      </c>
      <c r="B9" s="7" t="s">
        <v>16</v>
      </c>
      <c r="C9" s="7" t="s">
        <v>82</v>
      </c>
      <c r="D9" s="7"/>
      <c r="E9" s="7" t="s">
        <v>83</v>
      </c>
      <c r="F9" s="7" t="s">
        <v>19</v>
      </c>
      <c r="G9" s="7" t="s">
        <v>84</v>
      </c>
      <c r="H9" s="7" t="s">
        <v>21</v>
      </c>
      <c r="I9" s="7" t="s">
        <v>21</v>
      </c>
      <c r="J9" s="7" t="s">
        <v>85</v>
      </c>
    </row>
    <row r="10" spans="1:10" x14ac:dyDescent="0.25">
      <c r="A10" s="5" t="s">
        <v>15</v>
      </c>
      <c r="B10" s="6" t="s">
        <v>86</v>
      </c>
      <c r="C10" s="5" t="s">
        <v>21</v>
      </c>
      <c r="D10" s="5"/>
      <c r="E10" s="5" t="s">
        <v>86</v>
      </c>
      <c r="F10" s="5" t="s">
        <v>19</v>
      </c>
      <c r="G10" s="5" t="s">
        <v>87</v>
      </c>
      <c r="H10" s="5" t="s">
        <v>21</v>
      </c>
      <c r="I10" s="5" t="s">
        <v>21</v>
      </c>
      <c r="J10" s="5" t="s">
        <v>88</v>
      </c>
    </row>
    <row r="11" spans="1:10" x14ac:dyDescent="0.25" outlineLevel="1" collapsed="1">
      <c r="A11" s="7" t="s">
        <v>15</v>
      </c>
      <c r="B11" s="7" t="s">
        <v>16</v>
      </c>
      <c r="C11" s="7" t="s">
        <v>47</v>
      </c>
      <c r="D11" s="7"/>
      <c r="E11" s="7" t="s">
        <v>89</v>
      </c>
      <c r="F11" s="7" t="s">
        <v>19</v>
      </c>
      <c r="G11" s="7" t="s">
        <v>90</v>
      </c>
      <c r="H11" s="7" t="s">
        <v>21</v>
      </c>
      <c r="I11" s="7" t="s">
        <v>21</v>
      </c>
      <c r="J11" s="7" t="s">
        <v>91</v>
      </c>
    </row>
    <row r="12" spans="1:10" x14ac:dyDescent="0.25" outlineLevel="1" collapsed="1">
      <c r="A12" s="7" t="s">
        <v>15</v>
      </c>
      <c r="B12" s="7" t="s">
        <v>16</v>
      </c>
      <c r="C12" s="7" t="s">
        <v>47</v>
      </c>
      <c r="D12" s="7"/>
      <c r="E12" s="7" t="s">
        <v>92</v>
      </c>
      <c r="F12" s="7" t="s">
        <v>19</v>
      </c>
      <c r="G12" s="7" t="s">
        <v>93</v>
      </c>
      <c r="H12" s="7" t="s">
        <v>21</v>
      </c>
      <c r="I12" s="7" t="s">
        <v>21</v>
      </c>
      <c r="J12" s="7" t="s">
        <v>94</v>
      </c>
    </row>
    <row r="13" spans="1:10" x14ac:dyDescent="0.25" outlineLevel="1" collapsed="1">
      <c r="A13" s="7" t="s">
        <v>15</v>
      </c>
      <c r="B13" s="7" t="s">
        <v>43</v>
      </c>
      <c r="C13" s="7" t="s">
        <v>21</v>
      </c>
      <c r="D13" s="7"/>
      <c r="E13" s="7" t="s">
        <v>44</v>
      </c>
      <c r="F13" s="7" t="s">
        <v>19</v>
      </c>
      <c r="G13" s="7" t="s">
        <v>95</v>
      </c>
      <c r="H13" s="7" t="s">
        <v>21</v>
      </c>
      <c r="I13" s="7" t="s">
        <v>21</v>
      </c>
      <c r="J13" s="7" t="s">
        <v>46</v>
      </c>
    </row>
    <row r="14" spans="1:10" x14ac:dyDescent="0.25" outlineLevel="1" collapsed="1">
      <c r="A14" s="7" t="s">
        <v>15</v>
      </c>
      <c r="B14" s="7" t="s">
        <v>16</v>
      </c>
      <c r="C14" s="7" t="s">
        <v>52</v>
      </c>
      <c r="D14" s="7"/>
      <c r="E14" s="7" t="s">
        <v>96</v>
      </c>
      <c r="F14" s="7" t="s">
        <v>19</v>
      </c>
      <c r="G14" s="7" t="s">
        <v>97</v>
      </c>
      <c r="H14" s="7" t="s">
        <v>21</v>
      </c>
      <c r="I14" s="7" t="s">
        <v>21</v>
      </c>
      <c r="J14" s="7" t="s">
        <v>98</v>
      </c>
    </row>
    <row r="15" spans="1:10" x14ac:dyDescent="0.25">
      <c r="A15" s="5" t="s">
        <v>15</v>
      </c>
      <c r="B15" s="6" t="s">
        <v>99</v>
      </c>
      <c r="C15" s="5" t="s">
        <v>21</v>
      </c>
      <c r="D15" s="5"/>
      <c r="E15" s="5" t="s">
        <v>99</v>
      </c>
      <c r="F15" s="5" t="s">
        <v>19</v>
      </c>
      <c r="G15" s="5" t="s">
        <v>100</v>
      </c>
      <c r="H15" s="5" t="s">
        <v>21</v>
      </c>
      <c r="I15" s="5" t="s">
        <v>21</v>
      </c>
      <c r="J15" s="5" t="s">
        <v>101</v>
      </c>
    </row>
    <row r="16" spans="1:10" x14ac:dyDescent="0.25" outlineLevel="1" collapsed="1">
      <c r="A16" s="7" t="s">
        <v>15</v>
      </c>
      <c r="B16" s="7" t="s">
        <v>16</v>
      </c>
      <c r="C16" s="7" t="s">
        <v>39</v>
      </c>
      <c r="D16" s="7"/>
      <c r="E16" s="7" t="s">
        <v>102</v>
      </c>
      <c r="F16" s="7" t="s">
        <v>19</v>
      </c>
      <c r="G16" s="7" t="s">
        <v>103</v>
      </c>
      <c r="H16" s="7" t="s">
        <v>21</v>
      </c>
      <c r="I16" s="7" t="s">
        <v>21</v>
      </c>
      <c r="J16" s="7" t="s">
        <v>104</v>
      </c>
    </row>
    <row r="17" spans="1:10" x14ac:dyDescent="0.25" outlineLevel="1" collapsed="1">
      <c r="A17" s="7" t="s">
        <v>15</v>
      </c>
      <c r="B17" s="7" t="s">
        <v>16</v>
      </c>
      <c r="C17" s="7" t="s">
        <v>39</v>
      </c>
      <c r="D17" s="7"/>
      <c r="E17" s="7" t="s">
        <v>105</v>
      </c>
      <c r="F17" s="7" t="s">
        <v>19</v>
      </c>
      <c r="G17" s="7" t="s">
        <v>106</v>
      </c>
      <c r="H17" s="7" t="s">
        <v>21</v>
      </c>
      <c r="I17" s="7" t="s">
        <v>21</v>
      </c>
      <c r="J17" s="7" t="s">
        <v>107</v>
      </c>
    </row>
    <row r="18" spans="1:10" x14ac:dyDescent="0.25">
      <c r="A18" s="5" t="s">
        <v>15</v>
      </c>
      <c r="B18" s="6" t="s">
        <v>108</v>
      </c>
      <c r="C18" s="5" t="s">
        <v>21</v>
      </c>
      <c r="D18" s="5"/>
      <c r="E18" s="5" t="s">
        <v>108</v>
      </c>
      <c r="F18" s="5" t="s">
        <v>19</v>
      </c>
      <c r="G18" s="5" t="s">
        <v>109</v>
      </c>
      <c r="H18" s="5" t="s">
        <v>21</v>
      </c>
      <c r="I18" s="5" t="s">
        <v>21</v>
      </c>
      <c r="J18" s="5" t="s">
        <v>110</v>
      </c>
    </row>
    <row r="19" spans="1:10" x14ac:dyDescent="0.25" outlineLevel="1" collapsed="1">
      <c r="A19" s="7" t="s">
        <v>19</v>
      </c>
      <c r="B19" s="7" t="s">
        <v>56</v>
      </c>
      <c r="C19" s="7" t="s">
        <v>21</v>
      </c>
      <c r="D19" s="7"/>
      <c r="E19" s="7" t="s">
        <v>111</v>
      </c>
      <c r="F19" s="7" t="s">
        <v>15</v>
      </c>
      <c r="G19" s="7" t="s">
        <v>112</v>
      </c>
      <c r="H19" s="7" t="s">
        <v>21</v>
      </c>
      <c r="I19" s="7" t="s">
        <v>21</v>
      </c>
      <c r="J19" s="7" t="s">
        <v>113</v>
      </c>
    </row>
  </sheetData>
  <mergeCells count="3">
    <mergeCell ref="A1:J1"/>
    <mergeCell ref="B2:J2"/>
    <mergeCell ref="B3:J3"/>
  </mergeCells>
  <dataValidations count="1">
    <dataValidation type="list" allowBlank="1" sqref="G7:I7">
      <formula1>'Entity Type (enum)'!A4:A8</formula1>
    </dataValidation>
  </dataValidations>
  <hyperlinks>
    <hyperlink ref="B5" r:id="rId1" location="#'Entity Information'!A1"/>
    <hyperlink ref="C7" r:id="rId2" location="#'Entity Type (enum)'!A3"/>
    <hyperlink ref="B10" r:id="rId3" location="#'Contact Person Details'!A1"/>
    <hyperlink ref="B15" r:id="rId4" location="#'Project Related Information'!A1"/>
    <hyperlink ref="B18" r:id="rId5" location="#'Additional Information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115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116</v>
      </c>
      <c r="C5" s="5" t="s">
        <v>21</v>
      </c>
      <c r="D5" s="5"/>
      <c r="E5" s="5" t="s">
        <v>116</v>
      </c>
      <c r="F5" s="5" t="s">
        <v>19</v>
      </c>
      <c r="G5" s="5" t="s">
        <v>117</v>
      </c>
      <c r="H5" s="5" t="s">
        <v>21</v>
      </c>
      <c r="I5" s="5" t="s">
        <v>21</v>
      </c>
      <c r="J5" s="5" t="s">
        <v>118</v>
      </c>
    </row>
    <row r="6" spans="1:10" x14ac:dyDescent="0.25" outlineLevel="1" collapsed="1">
      <c r="A6" s="9" t="s">
        <v>15</v>
      </c>
      <c r="B6" s="10" t="s">
        <v>23</v>
      </c>
      <c r="C6" s="9" t="s">
        <v>21</v>
      </c>
      <c r="D6" s="9"/>
      <c r="E6" s="9" t="s">
        <v>23</v>
      </c>
      <c r="F6" s="9" t="s">
        <v>19</v>
      </c>
      <c r="G6" s="9" t="s">
        <v>21</v>
      </c>
      <c r="H6" s="9" t="s">
        <v>21</v>
      </c>
      <c r="I6" s="9" t="s">
        <v>21</v>
      </c>
      <c r="J6" s="9" t="s">
        <v>30</v>
      </c>
    </row>
    <row r="7" spans="1:10" x14ac:dyDescent="0.25" outlineLevel="2" collapsed="1">
      <c r="A7" s="7" t="s">
        <v>15</v>
      </c>
      <c r="B7" s="7" t="s">
        <v>27</v>
      </c>
      <c r="C7" s="8" t="s">
        <v>28</v>
      </c>
      <c r="D7" s="7"/>
      <c r="E7" s="7" t="s">
        <v>23</v>
      </c>
      <c r="F7" s="7" t="s">
        <v>19</v>
      </c>
      <c r="G7" s="7" t="s">
        <v>29</v>
      </c>
      <c r="H7" s="7" t="s">
        <v>21</v>
      </c>
      <c r="I7" s="7" t="s">
        <v>21</v>
      </c>
      <c r="J7" s="7" t="s">
        <v>30</v>
      </c>
    </row>
    <row r="8" spans="1:10" x14ac:dyDescent="0.25" outlineLevel="1" collapsed="1">
      <c r="A8" s="7" t="s">
        <v>15</v>
      </c>
      <c r="B8" s="7" t="s">
        <v>16</v>
      </c>
      <c r="C8" s="7" t="s">
        <v>119</v>
      </c>
      <c r="D8" s="7"/>
      <c r="E8" s="7" t="s">
        <v>120</v>
      </c>
      <c r="F8" s="7" t="s">
        <v>19</v>
      </c>
      <c r="G8" s="7" t="s">
        <v>121</v>
      </c>
      <c r="H8" s="7" t="s">
        <v>21</v>
      </c>
      <c r="I8" s="7" t="s">
        <v>21</v>
      </c>
      <c r="J8" s="7" t="s">
        <v>122</v>
      </c>
    </row>
    <row r="9" spans="1:10" x14ac:dyDescent="0.25" outlineLevel="1" collapsed="1">
      <c r="A9" s="7" t="s">
        <v>15</v>
      </c>
      <c r="B9" s="7" t="s">
        <v>16</v>
      </c>
      <c r="C9" s="7" t="s">
        <v>123</v>
      </c>
      <c r="D9" s="7"/>
      <c r="E9" s="7" t="s">
        <v>124</v>
      </c>
      <c r="F9" s="7" t="s">
        <v>19</v>
      </c>
      <c r="G9" s="7" t="s">
        <v>125</v>
      </c>
      <c r="H9" s="7" t="s">
        <v>21</v>
      </c>
      <c r="I9" s="7" t="s">
        <v>21</v>
      </c>
      <c r="J9" s="7" t="s">
        <v>126</v>
      </c>
    </row>
    <row r="10" spans="1:10" x14ac:dyDescent="0.25" outlineLevel="1" collapsed="1">
      <c r="A10" s="7" t="s">
        <v>15</v>
      </c>
      <c r="B10" s="7" t="s">
        <v>16</v>
      </c>
      <c r="C10" s="7" t="s">
        <v>127</v>
      </c>
      <c r="D10" s="7"/>
      <c r="E10" s="7" t="s">
        <v>128</v>
      </c>
      <c r="F10" s="7" t="s">
        <v>19</v>
      </c>
      <c r="G10" s="7" t="s">
        <v>129</v>
      </c>
      <c r="H10" s="7" t="s">
        <v>21</v>
      </c>
      <c r="I10" s="7" t="s">
        <v>21</v>
      </c>
      <c r="J10" s="7" t="s">
        <v>130</v>
      </c>
    </row>
    <row r="11" spans="1:10" x14ac:dyDescent="0.25" outlineLevel="1" collapsed="1">
      <c r="A11" s="7" t="s">
        <v>15</v>
      </c>
      <c r="B11" s="7" t="s">
        <v>27</v>
      </c>
      <c r="C11" s="8" t="s">
        <v>131</v>
      </c>
      <c r="D11" s="7"/>
      <c r="E11" s="7" t="s">
        <v>132</v>
      </c>
      <c r="F11" s="7" t="s">
        <v>19</v>
      </c>
      <c r="G11" s="7" t="s">
        <v>133</v>
      </c>
      <c r="H11" s="7" t="s">
        <v>21</v>
      </c>
      <c r="I11" s="7" t="s">
        <v>21</v>
      </c>
      <c r="J11" s="7" t="s">
        <v>134</v>
      </c>
    </row>
    <row r="12" spans="1:10" x14ac:dyDescent="0.25" outlineLevel="1" collapsed="1">
      <c r="A12" s="7" t="s">
        <v>15</v>
      </c>
      <c r="B12" s="7" t="s">
        <v>135</v>
      </c>
      <c r="C12" s="7" t="s">
        <v>21</v>
      </c>
      <c r="D12" s="7"/>
      <c r="E12" s="7" t="s">
        <v>136</v>
      </c>
      <c r="F12" s="7" t="s">
        <v>19</v>
      </c>
      <c r="G12" s="7" t="s">
        <v>21</v>
      </c>
      <c r="H12" s="7" t="s">
        <v>21</v>
      </c>
      <c r="I12" s="7" t="s">
        <v>21</v>
      </c>
      <c r="J12" s="7" t="s">
        <v>118</v>
      </c>
    </row>
    <row r="13" spans="1:10" x14ac:dyDescent="0.25" outlineLevel="1" collapsed="1">
      <c r="A13" s="7" t="s">
        <v>15</v>
      </c>
      <c r="B13" s="7" t="s">
        <v>16</v>
      </c>
      <c r="C13" s="7" t="s">
        <v>137</v>
      </c>
      <c r="D13" s="7"/>
      <c r="E13" s="7" t="s">
        <v>138</v>
      </c>
      <c r="F13" s="7" t="s">
        <v>19</v>
      </c>
      <c r="G13" s="7" t="s">
        <v>139</v>
      </c>
      <c r="H13" s="7" t="s">
        <v>21</v>
      </c>
      <c r="I13" s="7" t="s">
        <v>21</v>
      </c>
      <c r="J13" s="7" t="s">
        <v>140</v>
      </c>
    </row>
    <row r="14" spans="1:10" x14ac:dyDescent="0.25" outlineLevel="1" collapsed="1">
      <c r="A14" s="7" t="s">
        <v>15</v>
      </c>
      <c r="B14" s="7" t="s">
        <v>16</v>
      </c>
      <c r="C14" s="7" t="s">
        <v>141</v>
      </c>
      <c r="D14" s="7"/>
      <c r="E14" s="7" t="s">
        <v>142</v>
      </c>
      <c r="F14" s="7" t="s">
        <v>19</v>
      </c>
      <c r="G14" s="7" t="s">
        <v>143</v>
      </c>
      <c r="H14" s="7" t="s">
        <v>21</v>
      </c>
      <c r="I14" s="7" t="s">
        <v>21</v>
      </c>
      <c r="J14" s="7" t="s">
        <v>144</v>
      </c>
    </row>
    <row r="15" spans="1:10" x14ac:dyDescent="0.25">
      <c r="A15" s="5" t="s">
        <v>15</v>
      </c>
      <c r="B15" s="6" t="s">
        <v>145</v>
      </c>
      <c r="C15" s="5" t="s">
        <v>21</v>
      </c>
      <c r="D15" s="5"/>
      <c r="E15" s="5" t="s">
        <v>145</v>
      </c>
      <c r="F15" s="5" t="s">
        <v>19</v>
      </c>
      <c r="G15" s="5" t="s">
        <v>146</v>
      </c>
      <c r="H15" s="5" t="s">
        <v>21</v>
      </c>
      <c r="I15" s="5" t="s">
        <v>21</v>
      </c>
      <c r="J15" s="5" t="s">
        <v>147</v>
      </c>
    </row>
    <row r="16" spans="1:10" x14ac:dyDescent="0.25" outlineLevel="1" collapsed="1">
      <c r="A16" s="7" t="s">
        <v>15</v>
      </c>
      <c r="B16" s="7" t="s">
        <v>148</v>
      </c>
      <c r="C16" s="7" t="s">
        <v>21</v>
      </c>
      <c r="D16" s="7"/>
      <c r="E16" s="7" t="s">
        <v>18</v>
      </c>
      <c r="F16" s="7" t="s">
        <v>19</v>
      </c>
      <c r="G16" s="7" t="s">
        <v>41</v>
      </c>
      <c r="H16" s="7" t="s">
        <v>21</v>
      </c>
      <c r="I16" s="7" t="s">
        <v>21</v>
      </c>
      <c r="J16" s="7" t="s">
        <v>149</v>
      </c>
    </row>
    <row r="17" spans="1:10" x14ac:dyDescent="0.25" outlineLevel="1" collapsed="1">
      <c r="A17" s="7" t="s">
        <v>15</v>
      </c>
      <c r="B17" s="7" t="s">
        <v>43</v>
      </c>
      <c r="C17" s="7" t="s">
        <v>21</v>
      </c>
      <c r="D17" s="7"/>
      <c r="E17" s="7" t="s">
        <v>150</v>
      </c>
      <c r="F17" s="7" t="s">
        <v>19</v>
      </c>
      <c r="G17" s="7" t="s">
        <v>95</v>
      </c>
      <c r="H17" s="7" t="s">
        <v>21</v>
      </c>
      <c r="I17" s="7" t="s">
        <v>21</v>
      </c>
      <c r="J17" s="7" t="s">
        <v>151</v>
      </c>
    </row>
    <row r="18" spans="1:10" x14ac:dyDescent="0.25" outlineLevel="1" collapsed="1">
      <c r="A18" s="7" t="s">
        <v>15</v>
      </c>
      <c r="B18" s="7" t="s">
        <v>16</v>
      </c>
      <c r="C18" s="7" t="s">
        <v>152</v>
      </c>
      <c r="D18" s="7"/>
      <c r="E18" s="7" t="s">
        <v>153</v>
      </c>
      <c r="F18" s="7" t="s">
        <v>19</v>
      </c>
      <c r="G18" s="7" t="s">
        <v>154</v>
      </c>
      <c r="H18" s="7" t="s">
        <v>21</v>
      </c>
      <c r="I18" s="7" t="s">
        <v>21</v>
      </c>
      <c r="J18" s="7" t="s">
        <v>155</v>
      </c>
    </row>
    <row r="19" spans="1:10" x14ac:dyDescent="0.25" outlineLevel="1" collapsed="1">
      <c r="A19" s="7" t="s">
        <v>15</v>
      </c>
      <c r="B19" s="7" t="s">
        <v>16</v>
      </c>
      <c r="C19" s="7" t="s">
        <v>52</v>
      </c>
      <c r="D19" s="7"/>
      <c r="E19" s="7" t="s">
        <v>156</v>
      </c>
      <c r="F19" s="7" t="s">
        <v>19</v>
      </c>
      <c r="G19" s="7" t="s">
        <v>157</v>
      </c>
      <c r="H19" s="7" t="s">
        <v>21</v>
      </c>
      <c r="I19" s="7" t="s">
        <v>21</v>
      </c>
      <c r="J19" s="7" t="s">
        <v>158</v>
      </c>
    </row>
    <row r="20" spans="1:10" x14ac:dyDescent="0.25" outlineLevel="1" collapsed="1">
      <c r="A20" s="7" t="s">
        <v>15</v>
      </c>
      <c r="B20" s="7" t="s">
        <v>16</v>
      </c>
      <c r="C20" s="7" t="s">
        <v>52</v>
      </c>
      <c r="D20" s="7"/>
      <c r="E20" s="7" t="s">
        <v>159</v>
      </c>
      <c r="F20" s="7" t="s">
        <v>19</v>
      </c>
      <c r="G20" s="7" t="s">
        <v>160</v>
      </c>
      <c r="H20" s="7" t="s">
        <v>21</v>
      </c>
      <c r="I20" s="7" t="s">
        <v>21</v>
      </c>
      <c r="J20" s="7" t="s">
        <v>161</v>
      </c>
    </row>
    <row r="21" spans="1:10" x14ac:dyDescent="0.25" outlineLevel="1" collapsed="1">
      <c r="A21" s="7" t="s">
        <v>15</v>
      </c>
      <c r="B21" s="7" t="s">
        <v>16</v>
      </c>
      <c r="C21" s="7" t="s">
        <v>162</v>
      </c>
      <c r="D21" s="7"/>
      <c r="E21" s="7" t="s">
        <v>163</v>
      </c>
      <c r="F21" s="7" t="s">
        <v>19</v>
      </c>
      <c r="G21" s="7" t="s">
        <v>164</v>
      </c>
      <c r="H21" s="7" t="s">
        <v>21</v>
      </c>
      <c r="I21" s="7" t="s">
        <v>21</v>
      </c>
      <c r="J21" s="7" t="s">
        <v>165</v>
      </c>
    </row>
    <row r="22" spans="1:10" x14ac:dyDescent="0.25" outlineLevel="1" collapsed="1">
      <c r="A22" s="7" t="s">
        <v>15</v>
      </c>
      <c r="B22" s="7" t="s">
        <v>16</v>
      </c>
      <c r="C22" s="7" t="s">
        <v>82</v>
      </c>
      <c r="D22" s="7"/>
      <c r="E22" s="7" t="s">
        <v>83</v>
      </c>
      <c r="F22" s="7" t="s">
        <v>19</v>
      </c>
      <c r="G22" s="7" t="s">
        <v>166</v>
      </c>
      <c r="H22" s="7" t="s">
        <v>21</v>
      </c>
      <c r="I22" s="7" t="s">
        <v>21</v>
      </c>
      <c r="J22" s="7" t="s">
        <v>85</v>
      </c>
    </row>
    <row r="23" spans="1:10" x14ac:dyDescent="0.25" outlineLevel="1" collapsed="1">
      <c r="A23" s="7" t="s">
        <v>15</v>
      </c>
      <c r="B23" s="7" t="s">
        <v>167</v>
      </c>
      <c r="C23" s="7" t="s">
        <v>21</v>
      </c>
      <c r="D23" s="7"/>
      <c r="E23" s="7" t="s">
        <v>168</v>
      </c>
      <c r="F23" s="7" t="s">
        <v>19</v>
      </c>
      <c r="G23" s="7">
        <v>1</v>
      </c>
      <c r="H23" s="7" t="s">
        <v>21</v>
      </c>
      <c r="I23" s="7" t="s">
        <v>21</v>
      </c>
      <c r="J23" s="7" t="s">
        <v>169</v>
      </c>
    </row>
    <row r="24" spans="1:10" x14ac:dyDescent="0.25">
      <c r="A24" s="5" t="s">
        <v>15</v>
      </c>
      <c r="B24" s="6" t="s">
        <v>170</v>
      </c>
      <c r="C24" s="5" t="s">
        <v>21</v>
      </c>
      <c r="D24" s="5"/>
      <c r="E24" s="5" t="s">
        <v>170</v>
      </c>
      <c r="F24" s="5" t="s">
        <v>19</v>
      </c>
      <c r="G24" s="5" t="s">
        <v>171</v>
      </c>
      <c r="H24" s="5" t="s">
        <v>21</v>
      </c>
      <c r="I24" s="5" t="s">
        <v>21</v>
      </c>
      <c r="J24" s="5" t="s">
        <v>172</v>
      </c>
    </row>
    <row r="25" spans="1:10" x14ac:dyDescent="0.25" outlineLevel="1" collapsed="1">
      <c r="A25" s="7" t="s">
        <v>15</v>
      </c>
      <c r="B25" s="7" t="s">
        <v>16</v>
      </c>
      <c r="C25" s="7" t="s">
        <v>173</v>
      </c>
      <c r="D25" s="7"/>
      <c r="E25" s="7" t="s">
        <v>102</v>
      </c>
      <c r="F25" s="7" t="s">
        <v>19</v>
      </c>
      <c r="G25" s="7" t="s">
        <v>174</v>
      </c>
      <c r="H25" s="7" t="s">
        <v>21</v>
      </c>
      <c r="I25" s="7" t="s">
        <v>21</v>
      </c>
      <c r="J25" s="7" t="s">
        <v>104</v>
      </c>
    </row>
    <row r="26" spans="1:10" x14ac:dyDescent="0.25" outlineLevel="1" collapsed="1">
      <c r="A26" s="7" t="s">
        <v>15</v>
      </c>
      <c r="B26" s="7" t="s">
        <v>175</v>
      </c>
      <c r="C26" s="7" t="s">
        <v>21</v>
      </c>
      <c r="D26" s="7"/>
      <c r="E26" s="7" t="s">
        <v>176</v>
      </c>
      <c r="F26" s="7" t="s">
        <v>19</v>
      </c>
      <c r="G26" s="7" t="s">
        <v>177</v>
      </c>
      <c r="H26" s="7" t="s">
        <v>21</v>
      </c>
      <c r="I26" s="7" t="s">
        <v>21</v>
      </c>
      <c r="J26" s="7" t="s">
        <v>178</v>
      </c>
    </row>
    <row r="27" spans="1:10" x14ac:dyDescent="0.25" outlineLevel="1" collapsed="1">
      <c r="A27" s="7" t="s">
        <v>15</v>
      </c>
      <c r="B27" s="7" t="s">
        <v>175</v>
      </c>
      <c r="C27" s="7" t="s">
        <v>21</v>
      </c>
      <c r="D27" s="7"/>
      <c r="E27" s="7" t="s">
        <v>179</v>
      </c>
      <c r="F27" s="7" t="s">
        <v>19</v>
      </c>
      <c r="G27" s="7" t="s">
        <v>177</v>
      </c>
      <c r="H27" s="7" t="s">
        <v>21</v>
      </c>
      <c r="I27" s="7" t="s">
        <v>21</v>
      </c>
      <c r="J27" s="7" t="s">
        <v>180</v>
      </c>
    </row>
    <row r="28" spans="1:10" x14ac:dyDescent="0.25" outlineLevel="1" collapsed="1">
      <c r="A28" s="7" t="s">
        <v>15</v>
      </c>
      <c r="B28" s="7" t="s">
        <v>27</v>
      </c>
      <c r="C28" s="8" t="s">
        <v>181</v>
      </c>
      <c r="D28" s="7"/>
      <c r="E28" s="7" t="s">
        <v>182</v>
      </c>
      <c r="F28" s="7" t="s">
        <v>19</v>
      </c>
      <c r="G28" s="7" t="s">
        <v>183</v>
      </c>
      <c r="H28" s="7" t="s">
        <v>21</v>
      </c>
      <c r="I28" s="7" t="s">
        <v>21</v>
      </c>
      <c r="J28" s="7" t="s">
        <v>184</v>
      </c>
    </row>
    <row r="29" spans="1:10" x14ac:dyDescent="0.25" outlineLevel="1" collapsed="1">
      <c r="A29" s="7" t="s">
        <v>15</v>
      </c>
      <c r="B29" s="7" t="s">
        <v>16</v>
      </c>
      <c r="C29" s="7" t="s">
        <v>185</v>
      </c>
      <c r="D29" s="7"/>
      <c r="E29" s="7" t="s">
        <v>186</v>
      </c>
      <c r="F29" s="7" t="s">
        <v>19</v>
      </c>
      <c r="G29" s="7" t="s">
        <v>187</v>
      </c>
      <c r="H29" s="7" t="s">
        <v>21</v>
      </c>
      <c r="I29" s="7" t="s">
        <v>21</v>
      </c>
      <c r="J29" s="7" t="s">
        <v>188</v>
      </c>
    </row>
    <row r="30" spans="1:10" x14ac:dyDescent="0.25" outlineLevel="1" collapsed="1">
      <c r="A30" s="7" t="s">
        <v>15</v>
      </c>
      <c r="B30" s="7" t="s">
        <v>27</v>
      </c>
      <c r="C30" s="8" t="s">
        <v>189</v>
      </c>
      <c r="D30" s="7"/>
      <c r="E30" s="7" t="s">
        <v>190</v>
      </c>
      <c r="F30" s="7" t="s">
        <v>19</v>
      </c>
      <c r="G30" s="7" t="s">
        <v>191</v>
      </c>
      <c r="H30" s="7" t="s">
        <v>21</v>
      </c>
      <c r="I30" s="7" t="s">
        <v>21</v>
      </c>
      <c r="J30" s="7" t="s">
        <v>192</v>
      </c>
    </row>
    <row r="31" spans="1:10" x14ac:dyDescent="0.25">
      <c r="A31" s="5" t="s">
        <v>15</v>
      </c>
      <c r="B31" s="6" t="s">
        <v>193</v>
      </c>
      <c r="C31" s="5" t="s">
        <v>21</v>
      </c>
      <c r="D31" s="5"/>
      <c r="E31" s="5" t="s">
        <v>193</v>
      </c>
      <c r="F31" s="5" t="s">
        <v>19</v>
      </c>
      <c r="G31" s="5" t="s">
        <v>194</v>
      </c>
      <c r="H31" s="5" t="s">
        <v>21</v>
      </c>
      <c r="I31" s="5" t="s">
        <v>21</v>
      </c>
      <c r="J31" s="5" t="s">
        <v>195</v>
      </c>
    </row>
    <row r="32" spans="1:10" x14ac:dyDescent="0.25" outlineLevel="1" collapsed="1">
      <c r="A32" s="9" t="s">
        <v>15</v>
      </c>
      <c r="B32" s="10" t="s">
        <v>196</v>
      </c>
      <c r="C32" s="9" t="s">
        <v>21</v>
      </c>
      <c r="D32" s="9"/>
      <c r="E32" s="9" t="s">
        <v>197</v>
      </c>
      <c r="F32" s="9" t="s">
        <v>19</v>
      </c>
      <c r="G32" s="9" t="s">
        <v>21</v>
      </c>
      <c r="H32" s="9" t="s">
        <v>21</v>
      </c>
      <c r="I32" s="9" t="s">
        <v>21</v>
      </c>
      <c r="J32" s="9" t="s">
        <v>198</v>
      </c>
    </row>
    <row r="33" spans="1:10" x14ac:dyDescent="0.25" outlineLevel="2" collapsed="1">
      <c r="A33" s="7" t="s">
        <v>15</v>
      </c>
      <c r="B33" s="7" t="s">
        <v>27</v>
      </c>
      <c r="C33" s="8" t="s">
        <v>199</v>
      </c>
      <c r="D33" s="7"/>
      <c r="E33" s="7" t="s">
        <v>200</v>
      </c>
      <c r="F33" s="7" t="s">
        <v>19</v>
      </c>
      <c r="G33" s="7" t="s">
        <v>201</v>
      </c>
      <c r="H33" s="7" t="s">
        <v>21</v>
      </c>
      <c r="I33" s="7" t="s">
        <v>21</v>
      </c>
      <c r="J33" s="7" t="s">
        <v>202</v>
      </c>
    </row>
    <row r="34" spans="1:10" x14ac:dyDescent="0.25" outlineLevel="2" collapsed="1">
      <c r="A34" s="9" t="s">
        <v>19</v>
      </c>
      <c r="B34" s="10" t="s">
        <v>203</v>
      </c>
      <c r="C34" s="9" t="s">
        <v>21</v>
      </c>
      <c r="D34" s="9">
        <f>EXACT(G33,"HWT, IWT")</f>
      </c>
      <c r="E34" s="9" t="s">
        <v>204</v>
      </c>
      <c r="F34" s="9" t="s">
        <v>19</v>
      </c>
      <c r="G34" s="9" t="s">
        <v>21</v>
      </c>
      <c r="H34" s="9" t="s">
        <v>21</v>
      </c>
      <c r="I34" s="9" t="s">
        <v>21</v>
      </c>
      <c r="J34" s="9" t="s">
        <v>205</v>
      </c>
    </row>
    <row r="35" spans="1:10" x14ac:dyDescent="0.25" outlineLevel="3" collapsed="1">
      <c r="A35" s="7" t="s">
        <v>15</v>
      </c>
      <c r="B35" s="7" t="s">
        <v>27</v>
      </c>
      <c r="C35" s="8" t="s">
        <v>206</v>
      </c>
      <c r="D35" s="7"/>
      <c r="E35" s="7" t="s">
        <v>204</v>
      </c>
      <c r="F35" s="7" t="s">
        <v>19</v>
      </c>
      <c r="G35" s="7" t="s">
        <v>207</v>
      </c>
      <c r="H35" s="7" t="s">
        <v>21</v>
      </c>
      <c r="I35" s="7" t="s">
        <v>21</v>
      </c>
      <c r="J35" s="7" t="s">
        <v>208</v>
      </c>
    </row>
    <row r="36" spans="1:10" x14ac:dyDescent="0.25" outlineLevel="3" collapsed="1">
      <c r="A36" s="7" t="s">
        <v>19</v>
      </c>
      <c r="B36" s="7" t="s">
        <v>148</v>
      </c>
      <c r="C36" s="7" t="s">
        <v>21</v>
      </c>
      <c r="D36" s="7">
        <f>EXACT(G35,"Other (specify)")</f>
      </c>
      <c r="E36" s="7" t="s">
        <v>209</v>
      </c>
      <c r="F36" s="7" t="s">
        <v>19</v>
      </c>
      <c r="G36" s="7" t="s">
        <v>41</v>
      </c>
      <c r="H36" s="7" t="s">
        <v>21</v>
      </c>
      <c r="I36" s="7" t="s">
        <v>21</v>
      </c>
      <c r="J36" s="7" t="s">
        <v>210</v>
      </c>
    </row>
    <row r="37" spans="1:10" x14ac:dyDescent="0.25" outlineLevel="2" collapsed="1">
      <c r="A37" s="7" t="s">
        <v>19</v>
      </c>
      <c r="B37" s="7" t="s">
        <v>148</v>
      </c>
      <c r="C37" s="7" t="s">
        <v>21</v>
      </c>
      <c r="D37" s="7">
        <f>EXACT(G33,"HWT, IWT")</f>
      </c>
      <c r="E37" s="7" t="s">
        <v>211</v>
      </c>
      <c r="F37" s="7" t="s">
        <v>19</v>
      </c>
      <c r="G37" s="7" t="s">
        <v>41</v>
      </c>
      <c r="H37" s="7" t="s">
        <v>21</v>
      </c>
      <c r="I37" s="7" t="s">
        <v>21</v>
      </c>
      <c r="J37" s="7" t="s">
        <v>212</v>
      </c>
    </row>
    <row r="38" spans="1:10" x14ac:dyDescent="0.25" outlineLevel="2" collapsed="1">
      <c r="A38" s="7" t="s">
        <v>19</v>
      </c>
      <c r="B38" s="7" t="s">
        <v>148</v>
      </c>
      <c r="C38" s="7" t="s">
        <v>21</v>
      </c>
      <c r="D38" s="7">
        <f>EXACT(G33,"HWT, IWT")</f>
      </c>
      <c r="E38" s="7" t="s">
        <v>213</v>
      </c>
      <c r="F38" s="7" t="s">
        <v>19</v>
      </c>
      <c r="G38" s="7" t="s">
        <v>41</v>
      </c>
      <c r="H38" s="7" t="s">
        <v>21</v>
      </c>
      <c r="I38" s="7" t="s">
        <v>21</v>
      </c>
      <c r="J38" s="7" t="s">
        <v>214</v>
      </c>
    </row>
    <row r="39" spans="1:10" x14ac:dyDescent="0.25" outlineLevel="2" collapsed="1">
      <c r="A39" s="7" t="s">
        <v>19</v>
      </c>
      <c r="B39" s="7" t="s">
        <v>148</v>
      </c>
      <c r="C39" s="7" t="s">
        <v>21</v>
      </c>
      <c r="D39" s="7">
        <f>EXACT(G33,"HWT, IWT")</f>
      </c>
      <c r="E39" s="7" t="s">
        <v>215</v>
      </c>
      <c r="F39" s="7" t="s">
        <v>19</v>
      </c>
      <c r="G39" s="7" t="s">
        <v>41</v>
      </c>
      <c r="H39" s="7" t="s">
        <v>21</v>
      </c>
      <c r="I39" s="7" t="s">
        <v>21</v>
      </c>
      <c r="J39" s="7" t="s">
        <v>216</v>
      </c>
    </row>
    <row r="40" spans="1:10" x14ac:dyDescent="0.25" outlineLevel="2" collapsed="1">
      <c r="A40" s="7" t="s">
        <v>19</v>
      </c>
      <c r="B40" s="7" t="s">
        <v>148</v>
      </c>
      <c r="C40" s="7" t="s">
        <v>21</v>
      </c>
      <c r="D40" s="7">
        <f>EXACT(G33,"HWT, IWT")</f>
      </c>
      <c r="E40" s="7" t="s">
        <v>217</v>
      </c>
      <c r="F40" s="7" t="s">
        <v>19</v>
      </c>
      <c r="G40" s="7" t="s">
        <v>41</v>
      </c>
      <c r="H40" s="7" t="s">
        <v>21</v>
      </c>
      <c r="I40" s="7" t="s">
        <v>21</v>
      </c>
      <c r="J40" s="7" t="s">
        <v>218</v>
      </c>
    </row>
    <row r="41" spans="1:10" x14ac:dyDescent="0.25" outlineLevel="2" collapsed="1">
      <c r="A41" s="7" t="s">
        <v>19</v>
      </c>
      <c r="B41" s="7" t="s">
        <v>167</v>
      </c>
      <c r="C41" s="7" t="s">
        <v>21</v>
      </c>
      <c r="D41" s="7">
        <f>EXACT(G33,"HWT, IWT")</f>
      </c>
      <c r="E41" s="7" t="s">
        <v>219</v>
      </c>
      <c r="F41" s="7" t="s">
        <v>19</v>
      </c>
      <c r="G41" s="7">
        <v>1</v>
      </c>
      <c r="H41" s="7" t="s">
        <v>21</v>
      </c>
      <c r="I41" s="7" t="s">
        <v>21</v>
      </c>
      <c r="J41" s="7" t="s">
        <v>220</v>
      </c>
    </row>
    <row r="42" spans="1:10" x14ac:dyDescent="0.25" outlineLevel="2" collapsed="1">
      <c r="A42" s="7" t="s">
        <v>19</v>
      </c>
      <c r="B42" s="7" t="s">
        <v>148</v>
      </c>
      <c r="C42" s="7" t="s">
        <v>21</v>
      </c>
      <c r="D42" s="7">
        <f>EXACT(G33,"HWT, IWT")</f>
      </c>
      <c r="E42" s="7" t="s">
        <v>221</v>
      </c>
      <c r="F42" s="7" t="s">
        <v>19</v>
      </c>
      <c r="G42" s="7" t="s">
        <v>41</v>
      </c>
      <c r="H42" s="7" t="s">
        <v>21</v>
      </c>
      <c r="I42" s="7" t="s">
        <v>21</v>
      </c>
      <c r="J42" s="7" t="s">
        <v>222</v>
      </c>
    </row>
    <row r="43" spans="1:10" x14ac:dyDescent="0.25" outlineLevel="2" collapsed="1">
      <c r="A43" s="7" t="s">
        <v>19</v>
      </c>
      <c r="B43" s="7" t="s">
        <v>167</v>
      </c>
      <c r="C43" s="7" t="s">
        <v>21</v>
      </c>
      <c r="D43" s="7">
        <f>EXACT(G33,"HWT, IWT")</f>
      </c>
      <c r="E43" s="7" t="s">
        <v>223</v>
      </c>
      <c r="F43" s="7" t="s">
        <v>19</v>
      </c>
      <c r="G43" s="7">
        <v>1</v>
      </c>
      <c r="H43" s="7" t="s">
        <v>21</v>
      </c>
      <c r="I43" s="7" t="s">
        <v>21</v>
      </c>
      <c r="J43" s="7" t="s">
        <v>224</v>
      </c>
    </row>
    <row r="44" spans="1:10" x14ac:dyDescent="0.25" outlineLevel="2" collapsed="1">
      <c r="A44" s="7" t="s">
        <v>19</v>
      </c>
      <c r="B44" s="7" t="s">
        <v>167</v>
      </c>
      <c r="C44" s="7" t="s">
        <v>21</v>
      </c>
      <c r="D44" s="7">
        <f>EXACT(G33,"HWT, IWT")</f>
      </c>
      <c r="E44" s="7" t="s">
        <v>225</v>
      </c>
      <c r="F44" s="7" t="s">
        <v>19</v>
      </c>
      <c r="G44" s="7">
        <v>1</v>
      </c>
      <c r="H44" s="7" t="s">
        <v>21</v>
      </c>
      <c r="I44" s="7" t="s">
        <v>21</v>
      </c>
      <c r="J44" s="7" t="s">
        <v>226</v>
      </c>
    </row>
    <row r="45" spans="1:10" x14ac:dyDescent="0.25" outlineLevel="2" collapsed="1">
      <c r="A45" s="7" t="s">
        <v>19</v>
      </c>
      <c r="B45" s="7" t="s">
        <v>148</v>
      </c>
      <c r="C45" s="7" t="s">
        <v>21</v>
      </c>
      <c r="D45" s="7">
        <f>EXACT(G33,"HWT, IWT")</f>
      </c>
      <c r="E45" s="7" t="s">
        <v>227</v>
      </c>
      <c r="F45" s="7" t="s">
        <v>19</v>
      </c>
      <c r="G45" s="7" t="s">
        <v>41</v>
      </c>
      <c r="H45" s="7" t="s">
        <v>21</v>
      </c>
      <c r="I45" s="7" t="s">
        <v>21</v>
      </c>
      <c r="J45" s="7" t="s">
        <v>228</v>
      </c>
    </row>
    <row r="46" spans="1:10" x14ac:dyDescent="0.25" outlineLevel="2" collapsed="1">
      <c r="A46" s="9" t="s">
        <v>19</v>
      </c>
      <c r="B46" s="10" t="s">
        <v>204</v>
      </c>
      <c r="C46" s="9" t="s">
        <v>21</v>
      </c>
      <c r="D46" s="9">
        <f>EXACT(G33,"CWT, CWS")</f>
      </c>
      <c r="E46" s="9" t="s">
        <v>204</v>
      </c>
      <c r="F46" s="9" t="s">
        <v>19</v>
      </c>
      <c r="G46" s="9" t="s">
        <v>21</v>
      </c>
      <c r="H46" s="9" t="s">
        <v>21</v>
      </c>
      <c r="I46" s="9" t="s">
        <v>21</v>
      </c>
      <c r="J46" s="9" t="s">
        <v>229</v>
      </c>
    </row>
    <row r="47" spans="1:10" x14ac:dyDescent="0.25" outlineLevel="3" collapsed="1">
      <c r="A47" s="7" t="s">
        <v>15</v>
      </c>
      <c r="B47" s="7" t="s">
        <v>27</v>
      </c>
      <c r="C47" s="8" t="s">
        <v>230</v>
      </c>
      <c r="D47" s="7"/>
      <c r="E47" s="7" t="s">
        <v>204</v>
      </c>
      <c r="F47" s="7" t="s">
        <v>19</v>
      </c>
      <c r="G47" s="7" t="s">
        <v>231</v>
      </c>
      <c r="H47" s="7" t="s">
        <v>21</v>
      </c>
      <c r="I47" s="7" t="s">
        <v>21</v>
      </c>
      <c r="J47" s="7" t="s">
        <v>232</v>
      </c>
    </row>
    <row r="48" spans="1:10" x14ac:dyDescent="0.25" outlineLevel="3" collapsed="1">
      <c r="A48" s="7" t="s">
        <v>19</v>
      </c>
      <c r="B48" s="7" t="s">
        <v>148</v>
      </c>
      <c r="C48" s="7" t="s">
        <v>21</v>
      </c>
      <c r="D48" s="7">
        <f>EXACT(G47,"Other (specify)")</f>
      </c>
      <c r="E48" s="7" t="s">
        <v>209</v>
      </c>
      <c r="F48" s="7" t="s">
        <v>19</v>
      </c>
      <c r="G48" s="7" t="s">
        <v>41</v>
      </c>
      <c r="H48" s="7" t="s">
        <v>21</v>
      </c>
      <c r="I48" s="7" t="s">
        <v>21</v>
      </c>
      <c r="J48" s="7" t="s">
        <v>210</v>
      </c>
    </row>
    <row r="49" spans="1:10" x14ac:dyDescent="0.25" outlineLevel="2" collapsed="1">
      <c r="A49" s="7" t="s">
        <v>19</v>
      </c>
      <c r="B49" s="7" t="s">
        <v>148</v>
      </c>
      <c r="C49" s="7" t="s">
        <v>21</v>
      </c>
      <c r="D49" s="7">
        <f>EXACT(G33,"CWT, CWS")</f>
      </c>
      <c r="E49" s="7" t="s">
        <v>211</v>
      </c>
      <c r="F49" s="7" t="s">
        <v>19</v>
      </c>
      <c r="G49" s="7" t="s">
        <v>41</v>
      </c>
      <c r="H49" s="7" t="s">
        <v>21</v>
      </c>
      <c r="I49" s="7" t="s">
        <v>21</v>
      </c>
      <c r="J49" s="7" t="s">
        <v>233</v>
      </c>
    </row>
    <row r="50" spans="1:10" x14ac:dyDescent="0.25" outlineLevel="2" collapsed="1">
      <c r="A50" s="7" t="s">
        <v>19</v>
      </c>
      <c r="B50" s="7" t="s">
        <v>148</v>
      </c>
      <c r="C50" s="7" t="s">
        <v>21</v>
      </c>
      <c r="D50" s="7">
        <f>EXACT(G33,"CWT, CWS")</f>
      </c>
      <c r="E50" s="7" t="s">
        <v>234</v>
      </c>
      <c r="F50" s="7" t="s">
        <v>19</v>
      </c>
      <c r="G50" s="7" t="s">
        <v>41</v>
      </c>
      <c r="H50" s="7" t="s">
        <v>21</v>
      </c>
      <c r="I50" s="7" t="s">
        <v>21</v>
      </c>
      <c r="J50" s="7" t="s">
        <v>235</v>
      </c>
    </row>
    <row r="51" spans="1:10" x14ac:dyDescent="0.25" outlineLevel="2" collapsed="1">
      <c r="A51" s="7" t="s">
        <v>19</v>
      </c>
      <c r="B51" s="7" t="s">
        <v>148</v>
      </c>
      <c r="C51" s="7" t="s">
        <v>21</v>
      </c>
      <c r="D51" s="7">
        <f>EXACT(G33,"CWT, CWS")</f>
      </c>
      <c r="E51" s="7" t="s">
        <v>236</v>
      </c>
      <c r="F51" s="7" t="s">
        <v>19</v>
      </c>
      <c r="G51" s="7" t="s">
        <v>41</v>
      </c>
      <c r="H51" s="7" t="s">
        <v>21</v>
      </c>
      <c r="I51" s="7" t="s">
        <v>21</v>
      </c>
      <c r="J51" s="7" t="s">
        <v>237</v>
      </c>
    </row>
    <row r="52" spans="1:10" x14ac:dyDescent="0.25" outlineLevel="2" collapsed="1">
      <c r="A52" s="7" t="s">
        <v>19</v>
      </c>
      <c r="B52" s="7" t="s">
        <v>167</v>
      </c>
      <c r="C52" s="7" t="s">
        <v>21</v>
      </c>
      <c r="D52" s="7">
        <f>EXACT(G33,"CWT, CWS")</f>
      </c>
      <c r="E52" s="7" t="s">
        <v>238</v>
      </c>
      <c r="F52" s="7" t="s">
        <v>19</v>
      </c>
      <c r="G52" s="7">
        <v>1</v>
      </c>
      <c r="H52" s="7" t="s">
        <v>21</v>
      </c>
      <c r="I52" s="7" t="s">
        <v>21</v>
      </c>
      <c r="J52" s="7" t="s">
        <v>239</v>
      </c>
    </row>
    <row r="53" spans="1:10" x14ac:dyDescent="0.25" outlineLevel="2" collapsed="1">
      <c r="A53" s="7" t="s">
        <v>19</v>
      </c>
      <c r="B53" s="7" t="s">
        <v>167</v>
      </c>
      <c r="C53" s="7" t="s">
        <v>21</v>
      </c>
      <c r="D53" s="7">
        <f>EXACT(G33,"CWT, CWS")</f>
      </c>
      <c r="E53" s="7" t="s">
        <v>240</v>
      </c>
      <c r="F53" s="7" t="s">
        <v>19</v>
      </c>
      <c r="G53" s="7">
        <v>1</v>
      </c>
      <c r="H53" s="7" t="s">
        <v>21</v>
      </c>
      <c r="I53" s="7" t="s">
        <v>21</v>
      </c>
      <c r="J53" s="7" t="s">
        <v>241</v>
      </c>
    </row>
    <row r="54" spans="1:10" x14ac:dyDescent="0.25" outlineLevel="2" collapsed="1">
      <c r="A54" s="7" t="s">
        <v>19</v>
      </c>
      <c r="B54" s="7" t="s">
        <v>148</v>
      </c>
      <c r="C54" s="7" t="s">
        <v>21</v>
      </c>
      <c r="D54" s="7">
        <f>EXACT(G33,"CWT, CWS")</f>
      </c>
      <c r="E54" s="7" t="s">
        <v>215</v>
      </c>
      <c r="F54" s="7" t="s">
        <v>19</v>
      </c>
      <c r="G54" s="7" t="s">
        <v>41</v>
      </c>
      <c r="H54" s="7" t="s">
        <v>21</v>
      </c>
      <c r="I54" s="7" t="s">
        <v>21</v>
      </c>
      <c r="J54" s="7" t="s">
        <v>242</v>
      </c>
    </row>
    <row r="55" spans="1:10" x14ac:dyDescent="0.25" outlineLevel="2" collapsed="1">
      <c r="A55" s="7" t="s">
        <v>19</v>
      </c>
      <c r="B55" s="7" t="s">
        <v>148</v>
      </c>
      <c r="C55" s="7" t="s">
        <v>21</v>
      </c>
      <c r="D55" s="7">
        <f>EXACT(G33,"CWT, CWS")</f>
      </c>
      <c r="E55" s="7" t="s">
        <v>217</v>
      </c>
      <c r="F55" s="7" t="s">
        <v>19</v>
      </c>
      <c r="G55" s="7" t="s">
        <v>41</v>
      </c>
      <c r="H55" s="7" t="s">
        <v>21</v>
      </c>
      <c r="I55" s="7" t="s">
        <v>21</v>
      </c>
      <c r="J55" s="7" t="s">
        <v>243</v>
      </c>
    </row>
    <row r="56" spans="1:10" x14ac:dyDescent="0.25" outlineLevel="2" collapsed="1">
      <c r="A56" s="7" t="s">
        <v>19</v>
      </c>
      <c r="B56" s="7" t="s">
        <v>148</v>
      </c>
      <c r="C56" s="7" t="s">
        <v>21</v>
      </c>
      <c r="D56" s="7">
        <f>EXACT(G33,"CWT, CWS")</f>
      </c>
      <c r="E56" s="7" t="s">
        <v>244</v>
      </c>
      <c r="F56" s="7" t="s">
        <v>19</v>
      </c>
      <c r="G56" s="7" t="s">
        <v>41</v>
      </c>
      <c r="H56" s="7" t="s">
        <v>21</v>
      </c>
      <c r="I56" s="7" t="s">
        <v>21</v>
      </c>
      <c r="J56" s="7" t="s">
        <v>245</v>
      </c>
    </row>
    <row r="57" spans="1:10" x14ac:dyDescent="0.25" outlineLevel="2" collapsed="1">
      <c r="A57" s="7" t="s">
        <v>19</v>
      </c>
      <c r="B57" s="7" t="s">
        <v>246</v>
      </c>
      <c r="C57" s="7" t="s">
        <v>21</v>
      </c>
      <c r="D57" s="7">
        <f>EXACT(G33,"CWT, CWS")</f>
      </c>
      <c r="E57" s="7" t="s">
        <v>247</v>
      </c>
      <c r="F57" s="7" t="s">
        <v>19</v>
      </c>
      <c r="G57" s="7" t="b">
        <v>1</v>
      </c>
      <c r="H57" s="7" t="s">
        <v>21</v>
      </c>
      <c r="I57" s="7" t="s">
        <v>21</v>
      </c>
      <c r="J57" s="7" t="s">
        <v>248</v>
      </c>
    </row>
    <row r="58" spans="1:10" x14ac:dyDescent="0.25" outlineLevel="2" collapsed="1">
      <c r="A58" s="7" t="s">
        <v>19</v>
      </c>
      <c r="B58" s="7" t="s">
        <v>148</v>
      </c>
      <c r="C58" s="7" t="s">
        <v>21</v>
      </c>
      <c r="D58" s="7">
        <f>EXACT(G33,"CWT, CWS")</f>
      </c>
      <c r="E58" s="7" t="s">
        <v>115</v>
      </c>
      <c r="F58" s="7" t="s">
        <v>19</v>
      </c>
      <c r="G58" s="7" t="s">
        <v>41</v>
      </c>
      <c r="H58" s="7" t="s">
        <v>21</v>
      </c>
      <c r="I58" s="7" t="s">
        <v>21</v>
      </c>
      <c r="J58" s="7" t="s">
        <v>249</v>
      </c>
    </row>
    <row r="59" spans="1:10" x14ac:dyDescent="0.25" outlineLevel="2" collapsed="1">
      <c r="A59" s="7" t="s">
        <v>19</v>
      </c>
      <c r="B59" s="7" t="s">
        <v>148</v>
      </c>
      <c r="C59" s="7" t="s">
        <v>21</v>
      </c>
      <c r="D59" s="7">
        <f>EXACT(G33,"CWT, CWS")</f>
      </c>
      <c r="E59" s="7" t="s">
        <v>250</v>
      </c>
      <c r="F59" s="7" t="s">
        <v>19</v>
      </c>
      <c r="G59" s="7" t="s">
        <v>41</v>
      </c>
      <c r="H59" s="7" t="s">
        <v>21</v>
      </c>
      <c r="I59" s="7" t="s">
        <v>21</v>
      </c>
      <c r="J59" s="7" t="s">
        <v>251</v>
      </c>
    </row>
    <row r="60" spans="1:10" x14ac:dyDescent="0.25" outlineLevel="2" collapsed="1">
      <c r="A60" s="7" t="s">
        <v>19</v>
      </c>
      <c r="B60" s="7" t="s">
        <v>56</v>
      </c>
      <c r="C60" s="7" t="s">
        <v>21</v>
      </c>
      <c r="D60" s="7">
        <f>EXACT(G33,"CWT, CWS")</f>
      </c>
      <c r="E60" s="7" t="s">
        <v>252</v>
      </c>
      <c r="F60" s="7" t="s">
        <v>19</v>
      </c>
      <c r="G60" s="7" t="s">
        <v>253</v>
      </c>
      <c r="H60" s="7" t="s">
        <v>21</v>
      </c>
      <c r="I60" s="7" t="s">
        <v>21</v>
      </c>
      <c r="J60" s="7" t="s">
        <v>254</v>
      </c>
    </row>
    <row r="61" spans="1:10" x14ac:dyDescent="0.25" outlineLevel="2" collapsed="1">
      <c r="A61" s="9" t="s">
        <v>19</v>
      </c>
      <c r="B61" s="10" t="s">
        <v>255</v>
      </c>
      <c r="C61" s="9" t="s">
        <v>21</v>
      </c>
      <c r="D61" s="9">
        <f>EXACT(G33,"CWT, CWS")</f>
      </c>
      <c r="E61" s="9" t="s">
        <v>256</v>
      </c>
      <c r="F61" s="9" t="s">
        <v>19</v>
      </c>
      <c r="G61" s="9" t="s">
        <v>21</v>
      </c>
      <c r="H61" s="9" t="s">
        <v>21</v>
      </c>
      <c r="I61" s="9" t="s">
        <v>21</v>
      </c>
      <c r="J61" s="9" t="s">
        <v>257</v>
      </c>
    </row>
    <row r="62" spans="1:10" x14ac:dyDescent="0.25" outlineLevel="3" collapsed="1">
      <c r="A62" s="7" t="s">
        <v>15</v>
      </c>
      <c r="B62" s="7" t="s">
        <v>246</v>
      </c>
      <c r="C62" s="7" t="s">
        <v>21</v>
      </c>
      <c r="D62" s="7"/>
      <c r="E62" s="7" t="s">
        <v>258</v>
      </c>
      <c r="F62" s="7" t="s">
        <v>19</v>
      </c>
      <c r="G62" s="7" t="b">
        <v>1</v>
      </c>
      <c r="H62" s="7" t="s">
        <v>21</v>
      </c>
      <c r="I62" s="7" t="s">
        <v>21</v>
      </c>
      <c r="J62" s="7" t="s">
        <v>259</v>
      </c>
    </row>
    <row r="63" spans="1:10" x14ac:dyDescent="0.25" outlineLevel="3" collapsed="1">
      <c r="A63" s="7" t="s">
        <v>19</v>
      </c>
      <c r="B63" s="7" t="s">
        <v>175</v>
      </c>
      <c r="C63" s="7" t="s">
        <v>21</v>
      </c>
      <c r="D63" s="7">
        <f>EXACT(G62,true)</f>
      </c>
      <c r="E63" s="7" t="s">
        <v>260</v>
      </c>
      <c r="F63" s="7" t="s">
        <v>19</v>
      </c>
      <c r="G63" s="7" t="s">
        <v>177</v>
      </c>
      <c r="H63" s="7" t="s">
        <v>21</v>
      </c>
      <c r="I63" s="7" t="s">
        <v>21</v>
      </c>
      <c r="J63" s="7" t="s">
        <v>261</v>
      </c>
    </row>
    <row r="64" spans="1:10" x14ac:dyDescent="0.25" outlineLevel="3" collapsed="1">
      <c r="A64" s="7" t="s">
        <v>19</v>
      </c>
      <c r="B64" s="7" t="s">
        <v>16</v>
      </c>
      <c r="C64" s="7" t="s">
        <v>262</v>
      </c>
      <c r="D64" s="7">
        <f>EXACT(G62,true)</f>
      </c>
      <c r="E64" s="7" t="s">
        <v>263</v>
      </c>
      <c r="F64" s="7" t="s">
        <v>19</v>
      </c>
      <c r="G64" s="7" t="s">
        <v>264</v>
      </c>
      <c r="H64" s="7" t="s">
        <v>21</v>
      </c>
      <c r="I64" s="7" t="s">
        <v>21</v>
      </c>
      <c r="J64" s="7" t="s">
        <v>265</v>
      </c>
    </row>
    <row r="65" spans="1:10" x14ac:dyDescent="0.25" outlineLevel="3" collapsed="1">
      <c r="A65" s="7" t="s">
        <v>19</v>
      </c>
      <c r="B65" s="7" t="s">
        <v>175</v>
      </c>
      <c r="C65" s="7" t="s">
        <v>21</v>
      </c>
      <c r="D65" s="7">
        <f>EXACT(G62,true)</f>
      </c>
      <c r="E65" s="7" t="s">
        <v>266</v>
      </c>
      <c r="F65" s="7" t="s">
        <v>19</v>
      </c>
      <c r="G65" s="7" t="s">
        <v>177</v>
      </c>
      <c r="H65" s="7" t="s">
        <v>21</v>
      </c>
      <c r="I65" s="7" t="s">
        <v>21</v>
      </c>
      <c r="J65" s="7" t="s">
        <v>267</v>
      </c>
    </row>
    <row r="66" spans="1:10" x14ac:dyDescent="0.25" outlineLevel="3" collapsed="1">
      <c r="A66" s="7" t="s">
        <v>19</v>
      </c>
      <c r="B66" s="7" t="s">
        <v>56</v>
      </c>
      <c r="C66" s="7" t="s">
        <v>21</v>
      </c>
      <c r="D66" s="7">
        <f>EXACT(G62,true)</f>
      </c>
      <c r="E66" s="7" t="s">
        <v>268</v>
      </c>
      <c r="F66" s="7" t="s">
        <v>19</v>
      </c>
      <c r="G66" s="7" t="s">
        <v>269</v>
      </c>
      <c r="H66" s="7" t="s">
        <v>21</v>
      </c>
      <c r="I66" s="7" t="s">
        <v>21</v>
      </c>
      <c r="J66" s="7" t="s">
        <v>270</v>
      </c>
    </row>
    <row r="67" spans="1:10" x14ac:dyDescent="0.25" outlineLevel="3" collapsed="1">
      <c r="A67" s="7" t="s">
        <v>19</v>
      </c>
      <c r="B67" s="7" t="s">
        <v>56</v>
      </c>
      <c r="C67" s="7" t="s">
        <v>21</v>
      </c>
      <c r="D67" s="7">
        <f>EXACT(G62,true)</f>
      </c>
      <c r="E67" s="7" t="s">
        <v>271</v>
      </c>
      <c r="F67" s="7" t="s">
        <v>19</v>
      </c>
      <c r="G67" s="7" t="s">
        <v>272</v>
      </c>
      <c r="H67" s="7" t="s">
        <v>21</v>
      </c>
      <c r="I67" s="7" t="s">
        <v>21</v>
      </c>
      <c r="J67" s="7" t="s">
        <v>273</v>
      </c>
    </row>
    <row r="68" spans="1:10" x14ac:dyDescent="0.25" outlineLevel="1" collapsed="1">
      <c r="A68" s="7" t="s">
        <v>15</v>
      </c>
      <c r="B68" s="7" t="s">
        <v>148</v>
      </c>
      <c r="C68" s="7" t="s">
        <v>21</v>
      </c>
      <c r="D68" s="7"/>
      <c r="E68" s="7" t="s">
        <v>274</v>
      </c>
      <c r="F68" s="7" t="s">
        <v>19</v>
      </c>
      <c r="G68" s="7" t="s">
        <v>41</v>
      </c>
      <c r="H68" s="7" t="s">
        <v>21</v>
      </c>
      <c r="I68" s="7" t="s">
        <v>21</v>
      </c>
      <c r="J68" s="7" t="s">
        <v>275</v>
      </c>
    </row>
    <row r="69" spans="1:10" x14ac:dyDescent="0.25">
      <c r="A69" s="5" t="s">
        <v>15</v>
      </c>
      <c r="B69" s="6" t="s">
        <v>276</v>
      </c>
      <c r="C69" s="5" t="s">
        <v>21</v>
      </c>
      <c r="D69" s="5"/>
      <c r="E69" s="5" t="s">
        <v>277</v>
      </c>
      <c r="F69" s="5" t="s">
        <v>19</v>
      </c>
      <c r="G69" s="5" t="s">
        <v>278</v>
      </c>
      <c r="H69" s="5" t="s">
        <v>21</v>
      </c>
      <c r="I69" s="5" t="s">
        <v>21</v>
      </c>
      <c r="J69" s="5" t="s">
        <v>198</v>
      </c>
    </row>
    <row r="70" spans="1:10" x14ac:dyDescent="0.25" outlineLevel="1" collapsed="1">
      <c r="A70" s="7" t="s">
        <v>15</v>
      </c>
      <c r="B70" s="7" t="s">
        <v>56</v>
      </c>
      <c r="C70" s="7" t="s">
        <v>21</v>
      </c>
      <c r="D70" s="7"/>
      <c r="E70" s="7" t="s">
        <v>279</v>
      </c>
      <c r="F70" s="7" t="s">
        <v>19</v>
      </c>
      <c r="G70" s="7" t="s">
        <v>280</v>
      </c>
      <c r="H70" s="7" t="s">
        <v>21</v>
      </c>
      <c r="I70" s="7" t="s">
        <v>21</v>
      </c>
      <c r="J70" s="7" t="s">
        <v>281</v>
      </c>
    </row>
    <row r="71" spans="1:10" x14ac:dyDescent="0.25" outlineLevel="1" collapsed="1">
      <c r="A71" s="7" t="s">
        <v>15</v>
      </c>
      <c r="B71" s="7" t="s">
        <v>56</v>
      </c>
      <c r="C71" s="7" t="s">
        <v>21</v>
      </c>
      <c r="D71" s="7"/>
      <c r="E71" s="7" t="s">
        <v>282</v>
      </c>
      <c r="F71" s="7" t="s">
        <v>19</v>
      </c>
      <c r="G71" s="7" t="s">
        <v>283</v>
      </c>
      <c r="H71" s="7" t="s">
        <v>21</v>
      </c>
      <c r="I71" s="7" t="s">
        <v>21</v>
      </c>
      <c r="J71" s="7" t="s">
        <v>284</v>
      </c>
    </row>
    <row r="72" spans="1:10" x14ac:dyDescent="0.25" outlineLevel="1" collapsed="1">
      <c r="A72" s="7" t="s">
        <v>15</v>
      </c>
      <c r="B72" s="7" t="s">
        <v>56</v>
      </c>
      <c r="C72" s="7" t="s">
        <v>21</v>
      </c>
      <c r="D72" s="7"/>
      <c r="E72" s="7" t="s">
        <v>285</v>
      </c>
      <c r="F72" s="7" t="s">
        <v>19</v>
      </c>
      <c r="G72" s="7" t="s">
        <v>286</v>
      </c>
      <c r="H72" s="7" t="s">
        <v>21</v>
      </c>
      <c r="I72" s="7" t="s">
        <v>21</v>
      </c>
      <c r="J72" s="7" t="s">
        <v>287</v>
      </c>
    </row>
  </sheetData>
  <mergeCells count="3">
    <mergeCell ref="A1:J1"/>
    <mergeCell ref="B2:J2"/>
    <mergeCell ref="B3:J3"/>
  </mergeCells>
  <dataValidations count="7">
    <dataValidation type="list" allowBlank="1" sqref="G11:I11">
      <formula1>'UrbanRural Classificati (enum)'!A4:A5</formula1>
    </dataValidation>
    <dataValidation type="list" allowBlank="1" sqref="G28:I28">
      <formula1>'Project Status (enum)'!A4:A6</formula1>
    </dataValidation>
    <dataValidation type="list" allowBlank="1" sqref="G30:I30">
      <formula1>'The scale of the projec (enum)'!A4:A6</formula1>
    </dataValidation>
    <dataValidation type="list" allowBlank="1" sqref="G33:I33">
      <formula1>'Treatment Technology Ca (enum)'!A4:A5</formula1>
    </dataValidation>
    <dataValidation type="list" allowBlank="1" sqref="G35:I35">
      <formula1>'Treatment Technology 2 (enum)'!A4:A9</formula1>
    </dataValidation>
    <dataValidation type="list" allowBlank="1" sqref="G47:I47">
      <formula1>'Treatment Technology Su (enum)'!A4:A9</formula1>
    </dataValidation>
    <dataValidation type="list" allowBlank="1" sqref="G7:I7">
      <formula1>'Country 2 (enum)'!A4:A256</formula1>
    </dataValidation>
  </dataValidations>
  <hyperlinks>
    <hyperlink ref="B5" r:id="rId1" location="#'Project Location Details'!A1"/>
    <hyperlink ref="B6" r:id="rId2" location="#'Country'!A1"/>
    <hyperlink ref="C7" r:id="rId3" location="#'Country 2 (enum)'!A3"/>
    <hyperlink ref="C11" r:id="rId4" location="#'UrbanRural Classificati (enum)'!A3"/>
    <hyperlink ref="B15" r:id="rId5" location="#'Project Developer Details'!A1"/>
    <hyperlink ref="B24" r:id="rId6" location="#'Project Details'!A1"/>
    <hyperlink ref="C28" r:id="rId7" location="#'Project Status (enum)'!A3"/>
    <hyperlink ref="C30" r:id="rId8" location="#'The scale of the projec (enum)'!A3"/>
    <hyperlink ref="B31" r:id="rId9" location="#'Water Treatment Technology'!A1"/>
    <hyperlink ref="B32" r:id="rId10" location="#'Water Treatment Technology - C'!A1"/>
    <hyperlink ref="C33" r:id="rId11" location="#'Treatment Technology Ca (enum)'!A3"/>
    <hyperlink ref="B34" r:id="rId12" location="#'Treatment Technology Sub-ty 2'!A1"/>
    <hyperlink ref="C35" r:id="rId13" location="#'Treatment Technology 2 (enum)'!A3"/>
    <hyperlink ref="B46" r:id="rId14" location="#'Treatment Technology Sub-type'!A1"/>
    <hyperlink ref="C47" r:id="rId15" location="#'Treatment Technology Su (enum)'!A3"/>
    <hyperlink ref="B61" r:id="rId16" location="#'If the Project Installation is'!A1"/>
    <hyperlink ref="B69" r:id="rId17" location="#'Upload Supporting Compliance D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4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288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289</v>
      </c>
      <c r="C5" s="5" t="s">
        <v>21</v>
      </c>
      <c r="D5" s="5"/>
      <c r="E5" s="5" t="s">
        <v>289</v>
      </c>
      <c r="F5" s="5" t="s">
        <v>19</v>
      </c>
      <c r="G5" s="5" t="s">
        <v>290</v>
      </c>
      <c r="H5" s="5" t="s">
        <v>21</v>
      </c>
      <c r="I5" s="5" t="s">
        <v>21</v>
      </c>
      <c r="J5" s="5" t="s">
        <v>291</v>
      </c>
    </row>
    <row r="6" spans="1:10" x14ac:dyDescent="0.25" outlineLevel="1" collapsed="1">
      <c r="A6" s="7" t="s">
        <v>19</v>
      </c>
      <c r="B6" s="7" t="s">
        <v>148</v>
      </c>
      <c r="C6" s="7" t="s">
        <v>21</v>
      </c>
      <c r="D6" s="7"/>
      <c r="E6" s="7" t="s">
        <v>292</v>
      </c>
      <c r="F6" s="7" t="s">
        <v>19</v>
      </c>
      <c r="G6" s="7" t="s">
        <v>41</v>
      </c>
      <c r="H6" s="7" t="s">
        <v>21</v>
      </c>
      <c r="I6" s="7" t="s">
        <v>21</v>
      </c>
      <c r="J6" s="7" t="s">
        <v>198</v>
      </c>
    </row>
    <row r="7" spans="1:10" x14ac:dyDescent="0.25" outlineLevel="1" collapsed="1">
      <c r="A7" s="7" t="s">
        <v>15</v>
      </c>
      <c r="B7" s="7" t="s">
        <v>175</v>
      </c>
      <c r="C7" s="7" t="s">
        <v>21</v>
      </c>
      <c r="D7" s="7"/>
      <c r="E7" s="7" t="s">
        <v>293</v>
      </c>
      <c r="F7" s="7" t="s">
        <v>19</v>
      </c>
      <c r="G7" s="7" t="s">
        <v>177</v>
      </c>
      <c r="H7" s="7" t="s">
        <v>21</v>
      </c>
      <c r="I7" s="7" t="s">
        <v>21</v>
      </c>
      <c r="J7" s="7" t="s">
        <v>294</v>
      </c>
    </row>
    <row r="8" spans="1:10" x14ac:dyDescent="0.25">
      <c r="A8" s="5" t="s">
        <v>15</v>
      </c>
      <c r="B8" s="6" t="s">
        <v>170</v>
      </c>
      <c r="C8" s="5" t="s">
        <v>21</v>
      </c>
      <c r="D8" s="5"/>
      <c r="E8" s="5" t="s">
        <v>170</v>
      </c>
      <c r="F8" s="5" t="s">
        <v>19</v>
      </c>
      <c r="G8" s="5" t="s">
        <v>295</v>
      </c>
      <c r="H8" s="5" t="s">
        <v>21</v>
      </c>
      <c r="I8" s="5" t="s">
        <v>21</v>
      </c>
      <c r="J8" s="5" t="s">
        <v>172</v>
      </c>
    </row>
    <row r="9" spans="1:10" x14ac:dyDescent="0.25" outlineLevel="1" collapsed="1">
      <c r="A9" s="7" t="s">
        <v>15</v>
      </c>
      <c r="B9" s="7" t="s">
        <v>16</v>
      </c>
      <c r="C9" s="7" t="s">
        <v>173</v>
      </c>
      <c r="D9" s="7"/>
      <c r="E9" s="7" t="s">
        <v>102</v>
      </c>
      <c r="F9" s="7" t="s">
        <v>19</v>
      </c>
      <c r="G9" s="7" t="s">
        <v>296</v>
      </c>
      <c r="H9" s="7" t="s">
        <v>21</v>
      </c>
      <c r="I9" s="7" t="s">
        <v>21</v>
      </c>
      <c r="J9" s="7" t="s">
        <v>104</v>
      </c>
    </row>
    <row r="10" spans="1:10" x14ac:dyDescent="0.25" outlineLevel="1" collapsed="1">
      <c r="A10" s="7" t="s">
        <v>15</v>
      </c>
      <c r="B10" s="7" t="s">
        <v>175</v>
      </c>
      <c r="C10" s="7" t="s">
        <v>21</v>
      </c>
      <c r="D10" s="7"/>
      <c r="E10" s="7" t="s">
        <v>176</v>
      </c>
      <c r="F10" s="7" t="s">
        <v>19</v>
      </c>
      <c r="G10" s="7" t="s">
        <v>177</v>
      </c>
      <c r="H10" s="7" t="s">
        <v>21</v>
      </c>
      <c r="I10" s="7" t="s">
        <v>21</v>
      </c>
      <c r="J10" s="7" t="s">
        <v>178</v>
      </c>
    </row>
    <row r="11" spans="1:10" x14ac:dyDescent="0.25" outlineLevel="1" collapsed="1">
      <c r="A11" s="7" t="s">
        <v>15</v>
      </c>
      <c r="B11" s="7" t="s">
        <v>175</v>
      </c>
      <c r="C11" s="7" t="s">
        <v>21</v>
      </c>
      <c r="D11" s="7"/>
      <c r="E11" s="7" t="s">
        <v>179</v>
      </c>
      <c r="F11" s="7" t="s">
        <v>19</v>
      </c>
      <c r="G11" s="7" t="s">
        <v>177</v>
      </c>
      <c r="H11" s="7" t="s">
        <v>21</v>
      </c>
      <c r="I11" s="7" t="s">
        <v>21</v>
      </c>
      <c r="J11" s="7" t="s">
        <v>180</v>
      </c>
    </row>
    <row r="12" spans="1:10" x14ac:dyDescent="0.25" outlineLevel="1" collapsed="1">
      <c r="A12" s="7" t="s">
        <v>15</v>
      </c>
      <c r="B12" s="7" t="s">
        <v>27</v>
      </c>
      <c r="C12" s="8" t="s">
        <v>181</v>
      </c>
      <c r="D12" s="7"/>
      <c r="E12" s="7" t="s">
        <v>182</v>
      </c>
      <c r="F12" s="7" t="s">
        <v>19</v>
      </c>
      <c r="G12" s="7" t="s">
        <v>183</v>
      </c>
      <c r="H12" s="7" t="s">
        <v>21</v>
      </c>
      <c r="I12" s="7" t="s">
        <v>21</v>
      </c>
      <c r="J12" s="7" t="s">
        <v>184</v>
      </c>
    </row>
    <row r="13" spans="1:10" x14ac:dyDescent="0.25" outlineLevel="1" collapsed="1">
      <c r="A13" s="7" t="s">
        <v>15</v>
      </c>
      <c r="B13" s="7" t="s">
        <v>16</v>
      </c>
      <c r="C13" s="7" t="s">
        <v>185</v>
      </c>
      <c r="D13" s="7"/>
      <c r="E13" s="7" t="s">
        <v>186</v>
      </c>
      <c r="F13" s="7" t="s">
        <v>19</v>
      </c>
      <c r="G13" s="7" t="s">
        <v>297</v>
      </c>
      <c r="H13" s="7" t="s">
        <v>21</v>
      </c>
      <c r="I13" s="7" t="s">
        <v>21</v>
      </c>
      <c r="J13" s="7" t="s">
        <v>188</v>
      </c>
    </row>
    <row r="14" spans="1:10" x14ac:dyDescent="0.25" outlineLevel="1" collapsed="1">
      <c r="A14" s="7" t="s">
        <v>15</v>
      </c>
      <c r="B14" s="7" t="s">
        <v>27</v>
      </c>
      <c r="C14" s="8" t="s">
        <v>189</v>
      </c>
      <c r="D14" s="7"/>
      <c r="E14" s="7" t="s">
        <v>190</v>
      </c>
      <c r="F14" s="7" t="s">
        <v>19</v>
      </c>
      <c r="G14" s="7" t="s">
        <v>191</v>
      </c>
      <c r="H14" s="7" t="s">
        <v>21</v>
      </c>
      <c r="I14" s="7" t="s">
        <v>21</v>
      </c>
      <c r="J14" s="7" t="s">
        <v>192</v>
      </c>
    </row>
    <row r="15" spans="1:10" x14ac:dyDescent="0.25">
      <c r="A15" s="5" t="s">
        <v>15</v>
      </c>
      <c r="B15" s="6" t="s">
        <v>116</v>
      </c>
      <c r="C15" s="5" t="s">
        <v>21</v>
      </c>
      <c r="D15" s="5"/>
      <c r="E15" s="5" t="s">
        <v>116</v>
      </c>
      <c r="F15" s="5" t="s">
        <v>19</v>
      </c>
      <c r="G15" s="5" t="s">
        <v>298</v>
      </c>
      <c r="H15" s="5" t="s">
        <v>21</v>
      </c>
      <c r="I15" s="5" t="s">
        <v>21</v>
      </c>
      <c r="J15" s="5" t="s">
        <v>299</v>
      </c>
    </row>
    <row r="16" spans="1:10" x14ac:dyDescent="0.25" outlineLevel="1" collapsed="1">
      <c r="A16" s="9" t="s">
        <v>15</v>
      </c>
      <c r="B16" s="10" t="s">
        <v>23</v>
      </c>
      <c r="C16" s="9" t="s">
        <v>21</v>
      </c>
      <c r="D16" s="9"/>
      <c r="E16" s="9" t="s">
        <v>23</v>
      </c>
      <c r="F16" s="9" t="s">
        <v>19</v>
      </c>
      <c r="G16" s="9" t="s">
        <v>21</v>
      </c>
      <c r="H16" s="9" t="s">
        <v>21</v>
      </c>
      <c r="I16" s="9" t="s">
        <v>21</v>
      </c>
      <c r="J16" s="9" t="s">
        <v>30</v>
      </c>
    </row>
    <row r="17" spans="1:10" x14ac:dyDescent="0.25" outlineLevel="2" collapsed="1">
      <c r="A17" s="7" t="s">
        <v>15</v>
      </c>
      <c r="B17" s="7" t="s">
        <v>27</v>
      </c>
      <c r="C17" s="8" t="s">
        <v>28</v>
      </c>
      <c r="D17" s="7"/>
      <c r="E17" s="7" t="s">
        <v>23</v>
      </c>
      <c r="F17" s="7" t="s">
        <v>19</v>
      </c>
      <c r="G17" s="7" t="s">
        <v>29</v>
      </c>
      <c r="H17" s="7" t="s">
        <v>21</v>
      </c>
      <c r="I17" s="7" t="s">
        <v>21</v>
      </c>
      <c r="J17" s="7" t="s">
        <v>30</v>
      </c>
    </row>
    <row r="18" spans="1:10" x14ac:dyDescent="0.25" outlineLevel="1" collapsed="1">
      <c r="A18" s="7" t="s">
        <v>15</v>
      </c>
      <c r="B18" s="7" t="s">
        <v>16</v>
      </c>
      <c r="C18" s="7" t="s">
        <v>119</v>
      </c>
      <c r="D18" s="7"/>
      <c r="E18" s="7" t="s">
        <v>120</v>
      </c>
      <c r="F18" s="7" t="s">
        <v>19</v>
      </c>
      <c r="G18" s="7" t="s">
        <v>300</v>
      </c>
      <c r="H18" s="7" t="s">
        <v>21</v>
      </c>
      <c r="I18" s="7" t="s">
        <v>21</v>
      </c>
      <c r="J18" s="7" t="s">
        <v>122</v>
      </c>
    </row>
    <row r="19" spans="1:10" x14ac:dyDescent="0.25" outlineLevel="1" collapsed="1">
      <c r="A19" s="7" t="s">
        <v>15</v>
      </c>
      <c r="B19" s="7" t="s">
        <v>16</v>
      </c>
      <c r="C19" s="7" t="s">
        <v>123</v>
      </c>
      <c r="D19" s="7"/>
      <c r="E19" s="7" t="s">
        <v>124</v>
      </c>
      <c r="F19" s="7" t="s">
        <v>19</v>
      </c>
      <c r="G19" s="7" t="s">
        <v>301</v>
      </c>
      <c r="H19" s="7" t="s">
        <v>21</v>
      </c>
      <c r="I19" s="7" t="s">
        <v>21</v>
      </c>
      <c r="J19" s="7" t="s">
        <v>126</v>
      </c>
    </row>
    <row r="20" spans="1:10" x14ac:dyDescent="0.25" outlineLevel="1" collapsed="1">
      <c r="A20" s="7" t="s">
        <v>15</v>
      </c>
      <c r="B20" s="7" t="s">
        <v>16</v>
      </c>
      <c r="C20" s="7" t="s">
        <v>127</v>
      </c>
      <c r="D20" s="7"/>
      <c r="E20" s="7" t="s">
        <v>128</v>
      </c>
      <c r="F20" s="7" t="s">
        <v>19</v>
      </c>
      <c r="G20" s="7" t="s">
        <v>302</v>
      </c>
      <c r="H20" s="7" t="s">
        <v>21</v>
      </c>
      <c r="I20" s="7" t="s">
        <v>21</v>
      </c>
      <c r="J20" s="7" t="s">
        <v>130</v>
      </c>
    </row>
    <row r="21" spans="1:10" x14ac:dyDescent="0.25" outlineLevel="1" collapsed="1">
      <c r="A21" s="7" t="s">
        <v>15</v>
      </c>
      <c r="B21" s="7" t="s">
        <v>27</v>
      </c>
      <c r="C21" s="8" t="s">
        <v>131</v>
      </c>
      <c r="D21" s="7"/>
      <c r="E21" s="7" t="s">
        <v>132</v>
      </c>
      <c r="F21" s="7" t="s">
        <v>19</v>
      </c>
      <c r="G21" s="7" t="s">
        <v>133</v>
      </c>
      <c r="H21" s="7" t="s">
        <v>21</v>
      </c>
      <c r="I21" s="7" t="s">
        <v>21</v>
      </c>
      <c r="J21" s="7" t="s">
        <v>134</v>
      </c>
    </row>
    <row r="22" spans="1:10" x14ac:dyDescent="0.25" outlineLevel="1" collapsed="1">
      <c r="A22" s="7" t="s">
        <v>15</v>
      </c>
      <c r="B22" s="7" t="s">
        <v>135</v>
      </c>
      <c r="C22" s="7" t="s">
        <v>21</v>
      </c>
      <c r="D22" s="7"/>
      <c r="E22" s="7" t="s">
        <v>136</v>
      </c>
      <c r="F22" s="7" t="s">
        <v>19</v>
      </c>
      <c r="G22" s="7" t="s">
        <v>21</v>
      </c>
      <c r="H22" s="7" t="s">
        <v>21</v>
      </c>
      <c r="I22" s="7" t="s">
        <v>21</v>
      </c>
      <c r="J22" s="7" t="s">
        <v>118</v>
      </c>
    </row>
    <row r="23" spans="1:10" x14ac:dyDescent="0.25" outlineLevel="1" collapsed="1">
      <c r="A23" s="7" t="s">
        <v>15</v>
      </c>
      <c r="B23" s="7" t="s">
        <v>16</v>
      </c>
      <c r="C23" s="7" t="s">
        <v>137</v>
      </c>
      <c r="D23" s="7"/>
      <c r="E23" s="7" t="s">
        <v>138</v>
      </c>
      <c r="F23" s="7" t="s">
        <v>19</v>
      </c>
      <c r="G23" s="7" t="s">
        <v>303</v>
      </c>
      <c r="H23" s="7" t="s">
        <v>21</v>
      </c>
      <c r="I23" s="7" t="s">
        <v>21</v>
      </c>
      <c r="J23" s="7" t="s">
        <v>140</v>
      </c>
    </row>
    <row r="24" spans="1:10" x14ac:dyDescent="0.25" outlineLevel="1" collapsed="1">
      <c r="A24" s="7" t="s">
        <v>15</v>
      </c>
      <c r="B24" s="7" t="s">
        <v>16</v>
      </c>
      <c r="C24" s="7" t="s">
        <v>141</v>
      </c>
      <c r="D24" s="7"/>
      <c r="E24" s="7" t="s">
        <v>142</v>
      </c>
      <c r="F24" s="7" t="s">
        <v>19</v>
      </c>
      <c r="G24" s="7" t="s">
        <v>304</v>
      </c>
      <c r="H24" s="7" t="s">
        <v>21</v>
      </c>
      <c r="I24" s="7" t="s">
        <v>21</v>
      </c>
      <c r="J24" s="7" t="s">
        <v>144</v>
      </c>
    </row>
    <row r="25" spans="1:10" x14ac:dyDescent="0.25">
      <c r="A25" s="5" t="s">
        <v>15</v>
      </c>
      <c r="B25" s="6" t="s">
        <v>145</v>
      </c>
      <c r="C25" s="5" t="s">
        <v>21</v>
      </c>
      <c r="D25" s="5"/>
      <c r="E25" s="5" t="s">
        <v>145</v>
      </c>
      <c r="F25" s="5" t="s">
        <v>19</v>
      </c>
      <c r="G25" s="5" t="s">
        <v>305</v>
      </c>
      <c r="H25" s="5" t="s">
        <v>21</v>
      </c>
      <c r="I25" s="5" t="s">
        <v>21</v>
      </c>
      <c r="J25" s="5" t="s">
        <v>147</v>
      </c>
    </row>
    <row r="26" spans="1:10" x14ac:dyDescent="0.25" outlineLevel="1" collapsed="1">
      <c r="A26" s="7" t="s">
        <v>15</v>
      </c>
      <c r="B26" s="7" t="s">
        <v>148</v>
      </c>
      <c r="C26" s="7" t="s">
        <v>21</v>
      </c>
      <c r="D26" s="7"/>
      <c r="E26" s="7" t="s">
        <v>18</v>
      </c>
      <c r="F26" s="7" t="s">
        <v>19</v>
      </c>
      <c r="G26" s="7" t="s">
        <v>41</v>
      </c>
      <c r="H26" s="7" t="s">
        <v>21</v>
      </c>
      <c r="I26" s="7" t="s">
        <v>21</v>
      </c>
      <c r="J26" s="7" t="s">
        <v>149</v>
      </c>
    </row>
    <row r="27" spans="1:10" x14ac:dyDescent="0.25" outlineLevel="1" collapsed="1">
      <c r="A27" s="7" t="s">
        <v>15</v>
      </c>
      <c r="B27" s="7" t="s">
        <v>43</v>
      </c>
      <c r="C27" s="7" t="s">
        <v>21</v>
      </c>
      <c r="D27" s="7"/>
      <c r="E27" s="7" t="s">
        <v>150</v>
      </c>
      <c r="F27" s="7" t="s">
        <v>19</v>
      </c>
      <c r="G27" s="7" t="s">
        <v>95</v>
      </c>
      <c r="H27" s="7" t="s">
        <v>21</v>
      </c>
      <c r="I27" s="7" t="s">
        <v>21</v>
      </c>
      <c r="J27" s="7" t="s">
        <v>151</v>
      </c>
    </row>
    <row r="28" spans="1:10" x14ac:dyDescent="0.25" outlineLevel="1" collapsed="1">
      <c r="A28" s="7" t="s">
        <v>15</v>
      </c>
      <c r="B28" s="7" t="s">
        <v>16</v>
      </c>
      <c r="C28" s="7" t="s">
        <v>152</v>
      </c>
      <c r="D28" s="7"/>
      <c r="E28" s="7" t="s">
        <v>153</v>
      </c>
      <c r="F28" s="7" t="s">
        <v>19</v>
      </c>
      <c r="G28" s="7" t="s">
        <v>306</v>
      </c>
      <c r="H28" s="7" t="s">
        <v>21</v>
      </c>
      <c r="I28" s="7" t="s">
        <v>21</v>
      </c>
      <c r="J28" s="7" t="s">
        <v>155</v>
      </c>
    </row>
    <row r="29" spans="1:10" x14ac:dyDescent="0.25" outlineLevel="1" collapsed="1">
      <c r="A29" s="7" t="s">
        <v>15</v>
      </c>
      <c r="B29" s="7" t="s">
        <v>16</v>
      </c>
      <c r="C29" s="7" t="s">
        <v>52</v>
      </c>
      <c r="D29" s="7"/>
      <c r="E29" s="7" t="s">
        <v>156</v>
      </c>
      <c r="F29" s="7" t="s">
        <v>19</v>
      </c>
      <c r="G29" s="7" t="s">
        <v>307</v>
      </c>
      <c r="H29" s="7" t="s">
        <v>21</v>
      </c>
      <c r="I29" s="7" t="s">
        <v>21</v>
      </c>
      <c r="J29" s="7" t="s">
        <v>158</v>
      </c>
    </row>
    <row r="30" spans="1:10" x14ac:dyDescent="0.25" outlineLevel="1" collapsed="1">
      <c r="A30" s="7" t="s">
        <v>15</v>
      </c>
      <c r="B30" s="7" t="s">
        <v>16</v>
      </c>
      <c r="C30" s="7" t="s">
        <v>52</v>
      </c>
      <c r="D30" s="7"/>
      <c r="E30" s="7" t="s">
        <v>159</v>
      </c>
      <c r="F30" s="7" t="s">
        <v>19</v>
      </c>
      <c r="G30" s="7" t="s">
        <v>308</v>
      </c>
      <c r="H30" s="7" t="s">
        <v>21</v>
      </c>
      <c r="I30" s="7" t="s">
        <v>21</v>
      </c>
      <c r="J30" s="7" t="s">
        <v>161</v>
      </c>
    </row>
    <row r="31" spans="1:10" x14ac:dyDescent="0.25" outlineLevel="1" collapsed="1">
      <c r="A31" s="7" t="s">
        <v>15</v>
      </c>
      <c r="B31" s="7" t="s">
        <v>16</v>
      </c>
      <c r="C31" s="7" t="s">
        <v>162</v>
      </c>
      <c r="D31" s="7"/>
      <c r="E31" s="7" t="s">
        <v>163</v>
      </c>
      <c r="F31" s="7" t="s">
        <v>19</v>
      </c>
      <c r="G31" s="7" t="s">
        <v>309</v>
      </c>
      <c r="H31" s="7" t="s">
        <v>21</v>
      </c>
      <c r="I31" s="7" t="s">
        <v>21</v>
      </c>
      <c r="J31" s="7" t="s">
        <v>165</v>
      </c>
    </row>
    <row r="32" spans="1:10" x14ac:dyDescent="0.25" outlineLevel="1" collapsed="1">
      <c r="A32" s="7" t="s">
        <v>15</v>
      </c>
      <c r="B32" s="7" t="s">
        <v>16</v>
      </c>
      <c r="C32" s="7" t="s">
        <v>82</v>
      </c>
      <c r="D32" s="7"/>
      <c r="E32" s="7" t="s">
        <v>83</v>
      </c>
      <c r="F32" s="7" t="s">
        <v>19</v>
      </c>
      <c r="G32" s="7" t="s">
        <v>310</v>
      </c>
      <c r="H32" s="7" t="s">
        <v>21</v>
      </c>
      <c r="I32" s="7" t="s">
        <v>21</v>
      </c>
      <c r="J32" s="7" t="s">
        <v>85</v>
      </c>
    </row>
    <row r="33" spans="1:10" x14ac:dyDescent="0.25" outlineLevel="1" collapsed="1">
      <c r="A33" s="7" t="s">
        <v>15</v>
      </c>
      <c r="B33" s="7" t="s">
        <v>167</v>
      </c>
      <c r="C33" s="7" t="s">
        <v>21</v>
      </c>
      <c r="D33" s="7"/>
      <c r="E33" s="7" t="s">
        <v>168</v>
      </c>
      <c r="F33" s="7" t="s">
        <v>19</v>
      </c>
      <c r="G33" s="7">
        <v>1</v>
      </c>
      <c r="H33" s="7" t="s">
        <v>21</v>
      </c>
      <c r="I33" s="7" t="s">
        <v>21</v>
      </c>
      <c r="J33" s="7" t="s">
        <v>169</v>
      </c>
    </row>
    <row r="34" spans="1:10" x14ac:dyDescent="0.25">
      <c r="A34" s="5" t="s">
        <v>15</v>
      </c>
      <c r="B34" s="6" t="s">
        <v>311</v>
      </c>
      <c r="C34" s="5" t="s">
        <v>21</v>
      </c>
      <c r="D34" s="5"/>
      <c r="E34" s="5" t="s">
        <v>193</v>
      </c>
      <c r="F34" s="5" t="s">
        <v>19</v>
      </c>
      <c r="G34" s="5" t="s">
        <v>312</v>
      </c>
      <c r="H34" s="5" t="s">
        <v>21</v>
      </c>
      <c r="I34" s="5" t="s">
        <v>21</v>
      </c>
      <c r="J34" s="5" t="s">
        <v>195</v>
      </c>
    </row>
    <row r="35" spans="1:10" x14ac:dyDescent="0.25" outlineLevel="1" collapsed="1">
      <c r="A35" s="9" t="s">
        <v>15</v>
      </c>
      <c r="B35" s="10" t="s">
        <v>313</v>
      </c>
      <c r="C35" s="9" t="s">
        <v>21</v>
      </c>
      <c r="D35" s="9"/>
      <c r="E35" s="9" t="s">
        <v>197</v>
      </c>
      <c r="F35" s="9" t="s">
        <v>19</v>
      </c>
      <c r="G35" s="9" t="s">
        <v>21</v>
      </c>
      <c r="H35" s="9" t="s">
        <v>21</v>
      </c>
      <c r="I35" s="9" t="s">
        <v>21</v>
      </c>
      <c r="J35" s="9" t="s">
        <v>198</v>
      </c>
    </row>
    <row r="36" spans="1:10" x14ac:dyDescent="0.25" outlineLevel="2" collapsed="1">
      <c r="A36" s="7" t="s">
        <v>15</v>
      </c>
      <c r="B36" s="7" t="s">
        <v>27</v>
      </c>
      <c r="C36" s="8" t="s">
        <v>314</v>
      </c>
      <c r="D36" s="7"/>
      <c r="E36" s="7" t="s">
        <v>200</v>
      </c>
      <c r="F36" s="7" t="s">
        <v>19</v>
      </c>
      <c r="G36" s="7" t="s">
        <v>201</v>
      </c>
      <c r="H36" s="7" t="s">
        <v>21</v>
      </c>
      <c r="I36" s="7" t="s">
        <v>21</v>
      </c>
      <c r="J36" s="7" t="s">
        <v>202</v>
      </c>
    </row>
    <row r="37" spans="1:10" x14ac:dyDescent="0.25" outlineLevel="2" collapsed="1">
      <c r="A37" s="9" t="s">
        <v>19</v>
      </c>
      <c r="B37" s="10" t="s">
        <v>203</v>
      </c>
      <c r="C37" s="9" t="s">
        <v>21</v>
      </c>
      <c r="D37" s="9">
        <f>EXACT(G36,"HWT, IWT")</f>
      </c>
      <c r="E37" s="9" t="s">
        <v>204</v>
      </c>
      <c r="F37" s="9" t="s">
        <v>19</v>
      </c>
      <c r="G37" s="9" t="s">
        <v>21</v>
      </c>
      <c r="H37" s="9" t="s">
        <v>21</v>
      </c>
      <c r="I37" s="9" t="s">
        <v>21</v>
      </c>
      <c r="J37" s="9" t="s">
        <v>205</v>
      </c>
    </row>
    <row r="38" spans="1:10" x14ac:dyDescent="0.25" outlineLevel="3" collapsed="1">
      <c r="A38" s="7" t="s">
        <v>15</v>
      </c>
      <c r="B38" s="7" t="s">
        <v>27</v>
      </c>
      <c r="C38" s="8" t="s">
        <v>206</v>
      </c>
      <c r="D38" s="7"/>
      <c r="E38" s="7" t="s">
        <v>204</v>
      </c>
      <c r="F38" s="7" t="s">
        <v>19</v>
      </c>
      <c r="G38" s="7" t="s">
        <v>207</v>
      </c>
      <c r="H38" s="7" t="s">
        <v>21</v>
      </c>
      <c r="I38" s="7" t="s">
        <v>21</v>
      </c>
      <c r="J38" s="7" t="s">
        <v>208</v>
      </c>
    </row>
    <row r="39" spans="1:10" x14ac:dyDescent="0.25" outlineLevel="3" collapsed="1">
      <c r="A39" s="7" t="s">
        <v>19</v>
      </c>
      <c r="B39" s="7" t="s">
        <v>148</v>
      </c>
      <c r="C39" s="7" t="s">
        <v>21</v>
      </c>
      <c r="D39" s="7">
        <f>EXACT(G38,"Other (specify)")</f>
      </c>
      <c r="E39" s="7" t="s">
        <v>209</v>
      </c>
      <c r="F39" s="7" t="s">
        <v>19</v>
      </c>
      <c r="G39" s="7" t="s">
        <v>41</v>
      </c>
      <c r="H39" s="7" t="s">
        <v>21</v>
      </c>
      <c r="I39" s="7" t="s">
        <v>21</v>
      </c>
      <c r="J39" s="7" t="s">
        <v>210</v>
      </c>
    </row>
    <row r="40" spans="1:10" x14ac:dyDescent="0.25" outlineLevel="2" collapsed="1">
      <c r="A40" s="7" t="s">
        <v>19</v>
      </c>
      <c r="B40" s="7" t="s">
        <v>148</v>
      </c>
      <c r="C40" s="7" t="s">
        <v>21</v>
      </c>
      <c r="D40" s="7">
        <f>EXACT(G36,"HWT, IWT")</f>
      </c>
      <c r="E40" s="7" t="s">
        <v>211</v>
      </c>
      <c r="F40" s="7" t="s">
        <v>19</v>
      </c>
      <c r="G40" s="7" t="s">
        <v>41</v>
      </c>
      <c r="H40" s="7" t="s">
        <v>21</v>
      </c>
      <c r="I40" s="7" t="s">
        <v>21</v>
      </c>
      <c r="J40" s="7" t="s">
        <v>212</v>
      </c>
    </row>
    <row r="41" spans="1:10" x14ac:dyDescent="0.25" outlineLevel="2" collapsed="1">
      <c r="A41" s="7" t="s">
        <v>19</v>
      </c>
      <c r="B41" s="7" t="s">
        <v>148</v>
      </c>
      <c r="C41" s="7" t="s">
        <v>21</v>
      </c>
      <c r="D41" s="7">
        <f>EXACT(G36,"HWT, IWT")</f>
      </c>
      <c r="E41" s="7" t="s">
        <v>213</v>
      </c>
      <c r="F41" s="7" t="s">
        <v>19</v>
      </c>
      <c r="G41" s="7" t="s">
        <v>41</v>
      </c>
      <c r="H41" s="7" t="s">
        <v>21</v>
      </c>
      <c r="I41" s="7" t="s">
        <v>21</v>
      </c>
      <c r="J41" s="7" t="s">
        <v>214</v>
      </c>
    </row>
    <row r="42" spans="1:10" x14ac:dyDescent="0.25" outlineLevel="2" collapsed="1">
      <c r="A42" s="7" t="s">
        <v>19</v>
      </c>
      <c r="B42" s="7" t="s">
        <v>148</v>
      </c>
      <c r="C42" s="7" t="s">
        <v>21</v>
      </c>
      <c r="D42" s="7">
        <f>EXACT(G36,"HWT, IWT")</f>
      </c>
      <c r="E42" s="7" t="s">
        <v>215</v>
      </c>
      <c r="F42" s="7" t="s">
        <v>19</v>
      </c>
      <c r="G42" s="7" t="s">
        <v>41</v>
      </c>
      <c r="H42" s="7" t="s">
        <v>21</v>
      </c>
      <c r="I42" s="7" t="s">
        <v>21</v>
      </c>
      <c r="J42" s="7" t="s">
        <v>216</v>
      </c>
    </row>
    <row r="43" spans="1:10" x14ac:dyDescent="0.25" outlineLevel="2" collapsed="1">
      <c r="A43" s="7" t="s">
        <v>19</v>
      </c>
      <c r="B43" s="7" t="s">
        <v>148</v>
      </c>
      <c r="C43" s="7" t="s">
        <v>21</v>
      </c>
      <c r="D43" s="7">
        <f>EXACT(G36,"HWT, IWT")</f>
      </c>
      <c r="E43" s="7" t="s">
        <v>217</v>
      </c>
      <c r="F43" s="7" t="s">
        <v>19</v>
      </c>
      <c r="G43" s="7" t="s">
        <v>41</v>
      </c>
      <c r="H43" s="7" t="s">
        <v>21</v>
      </c>
      <c r="I43" s="7" t="s">
        <v>21</v>
      </c>
      <c r="J43" s="7" t="s">
        <v>218</v>
      </c>
    </row>
    <row r="44" spans="1:10" x14ac:dyDescent="0.25" outlineLevel="2" collapsed="1">
      <c r="A44" s="7" t="s">
        <v>19</v>
      </c>
      <c r="B44" s="7" t="s">
        <v>167</v>
      </c>
      <c r="C44" s="7" t="s">
        <v>21</v>
      </c>
      <c r="D44" s="7">
        <f>EXACT(G36,"HWT, IWT")</f>
      </c>
      <c r="E44" s="7" t="s">
        <v>219</v>
      </c>
      <c r="F44" s="7" t="s">
        <v>19</v>
      </c>
      <c r="G44" s="7">
        <v>1</v>
      </c>
      <c r="H44" s="7" t="s">
        <v>21</v>
      </c>
      <c r="I44" s="7" t="s">
        <v>21</v>
      </c>
      <c r="J44" s="7" t="s">
        <v>220</v>
      </c>
    </row>
    <row r="45" spans="1:10" x14ac:dyDescent="0.25" outlineLevel="2" collapsed="1">
      <c r="A45" s="7" t="s">
        <v>19</v>
      </c>
      <c r="B45" s="7" t="s">
        <v>148</v>
      </c>
      <c r="C45" s="7" t="s">
        <v>21</v>
      </c>
      <c r="D45" s="7">
        <f>EXACT(G36,"HWT, IWT")</f>
      </c>
      <c r="E45" s="7" t="s">
        <v>221</v>
      </c>
      <c r="F45" s="7" t="s">
        <v>19</v>
      </c>
      <c r="G45" s="7" t="s">
        <v>41</v>
      </c>
      <c r="H45" s="7" t="s">
        <v>21</v>
      </c>
      <c r="I45" s="7" t="s">
        <v>21</v>
      </c>
      <c r="J45" s="7" t="s">
        <v>222</v>
      </c>
    </row>
    <row r="46" spans="1:10" x14ac:dyDescent="0.25" outlineLevel="2" collapsed="1">
      <c r="A46" s="7" t="s">
        <v>19</v>
      </c>
      <c r="B46" s="7" t="s">
        <v>167</v>
      </c>
      <c r="C46" s="7" t="s">
        <v>21</v>
      </c>
      <c r="D46" s="7">
        <f>EXACT(G36,"HWT, IWT")</f>
      </c>
      <c r="E46" s="7" t="s">
        <v>223</v>
      </c>
      <c r="F46" s="7" t="s">
        <v>19</v>
      </c>
      <c r="G46" s="7">
        <v>1</v>
      </c>
      <c r="H46" s="7" t="s">
        <v>21</v>
      </c>
      <c r="I46" s="7" t="s">
        <v>21</v>
      </c>
      <c r="J46" s="7" t="s">
        <v>224</v>
      </c>
    </row>
    <row r="47" spans="1:10" x14ac:dyDescent="0.25" outlineLevel="2" collapsed="1">
      <c r="A47" s="7" t="s">
        <v>19</v>
      </c>
      <c r="B47" s="7" t="s">
        <v>167</v>
      </c>
      <c r="C47" s="7" t="s">
        <v>21</v>
      </c>
      <c r="D47" s="7">
        <f>EXACT(G36,"HWT, IWT")</f>
      </c>
      <c r="E47" s="7" t="s">
        <v>225</v>
      </c>
      <c r="F47" s="7" t="s">
        <v>19</v>
      </c>
      <c r="G47" s="7">
        <v>1</v>
      </c>
      <c r="H47" s="7" t="s">
        <v>21</v>
      </c>
      <c r="I47" s="7" t="s">
        <v>21</v>
      </c>
      <c r="J47" s="7" t="s">
        <v>226</v>
      </c>
    </row>
    <row r="48" spans="1:10" x14ac:dyDescent="0.25" outlineLevel="2" collapsed="1">
      <c r="A48" s="7" t="s">
        <v>19</v>
      </c>
      <c r="B48" s="7" t="s">
        <v>148</v>
      </c>
      <c r="C48" s="7" t="s">
        <v>21</v>
      </c>
      <c r="D48" s="7">
        <f>EXACT(G36,"HWT, IWT")</f>
      </c>
      <c r="E48" s="7" t="s">
        <v>227</v>
      </c>
      <c r="F48" s="7" t="s">
        <v>19</v>
      </c>
      <c r="G48" s="7" t="s">
        <v>41</v>
      </c>
      <c r="H48" s="7" t="s">
        <v>21</v>
      </c>
      <c r="I48" s="7" t="s">
        <v>21</v>
      </c>
      <c r="J48" s="7" t="s">
        <v>228</v>
      </c>
    </row>
    <row r="49" spans="1:10" x14ac:dyDescent="0.25" outlineLevel="2" collapsed="1">
      <c r="A49" s="9" t="s">
        <v>19</v>
      </c>
      <c r="B49" s="10" t="s">
        <v>204</v>
      </c>
      <c r="C49" s="9" t="s">
        <v>21</v>
      </c>
      <c r="D49" s="9">
        <f>EXACT(G36,"CWT, CWS")</f>
      </c>
      <c r="E49" s="9" t="s">
        <v>204</v>
      </c>
      <c r="F49" s="9" t="s">
        <v>19</v>
      </c>
      <c r="G49" s="9" t="s">
        <v>21</v>
      </c>
      <c r="H49" s="9" t="s">
        <v>21</v>
      </c>
      <c r="I49" s="9" t="s">
        <v>21</v>
      </c>
      <c r="J49" s="9" t="s">
        <v>229</v>
      </c>
    </row>
    <row r="50" spans="1:10" x14ac:dyDescent="0.25" outlineLevel="3" collapsed="1">
      <c r="A50" s="7" t="s">
        <v>15</v>
      </c>
      <c r="B50" s="7" t="s">
        <v>27</v>
      </c>
      <c r="C50" s="8" t="s">
        <v>230</v>
      </c>
      <c r="D50" s="7"/>
      <c r="E50" s="7" t="s">
        <v>204</v>
      </c>
      <c r="F50" s="7" t="s">
        <v>19</v>
      </c>
      <c r="G50" s="7" t="s">
        <v>231</v>
      </c>
      <c r="H50" s="7" t="s">
        <v>21</v>
      </c>
      <c r="I50" s="7" t="s">
        <v>21</v>
      </c>
      <c r="J50" s="7" t="s">
        <v>232</v>
      </c>
    </row>
    <row r="51" spans="1:10" x14ac:dyDescent="0.25" outlineLevel="3" collapsed="1">
      <c r="A51" s="7" t="s">
        <v>19</v>
      </c>
      <c r="B51" s="7" t="s">
        <v>148</v>
      </c>
      <c r="C51" s="7" t="s">
        <v>21</v>
      </c>
      <c r="D51" s="7">
        <f>EXACT(G50,"Other (specify)")</f>
      </c>
      <c r="E51" s="7" t="s">
        <v>209</v>
      </c>
      <c r="F51" s="7" t="s">
        <v>19</v>
      </c>
      <c r="G51" s="7" t="s">
        <v>41</v>
      </c>
      <c r="H51" s="7" t="s">
        <v>21</v>
      </c>
      <c r="I51" s="7" t="s">
        <v>21</v>
      </c>
      <c r="J51" s="7" t="s">
        <v>210</v>
      </c>
    </row>
    <row r="52" spans="1:10" x14ac:dyDescent="0.25" outlineLevel="2" collapsed="1">
      <c r="A52" s="7" t="s">
        <v>19</v>
      </c>
      <c r="B52" s="7" t="s">
        <v>148</v>
      </c>
      <c r="C52" s="7" t="s">
        <v>21</v>
      </c>
      <c r="D52" s="7">
        <f>EXACT(G36,"CWT, CWS")</f>
      </c>
      <c r="E52" s="7" t="s">
        <v>211</v>
      </c>
      <c r="F52" s="7" t="s">
        <v>19</v>
      </c>
      <c r="G52" s="7" t="s">
        <v>41</v>
      </c>
      <c r="H52" s="7" t="s">
        <v>21</v>
      </c>
      <c r="I52" s="7" t="s">
        <v>21</v>
      </c>
      <c r="J52" s="7" t="s">
        <v>233</v>
      </c>
    </row>
    <row r="53" spans="1:10" x14ac:dyDescent="0.25" outlineLevel="2" collapsed="1">
      <c r="A53" s="7" t="s">
        <v>19</v>
      </c>
      <c r="B53" s="7" t="s">
        <v>148</v>
      </c>
      <c r="C53" s="7" t="s">
        <v>21</v>
      </c>
      <c r="D53" s="7">
        <f>EXACT(G36,"CWT, CWS")</f>
      </c>
      <c r="E53" s="7" t="s">
        <v>234</v>
      </c>
      <c r="F53" s="7" t="s">
        <v>19</v>
      </c>
      <c r="G53" s="7" t="s">
        <v>41</v>
      </c>
      <c r="H53" s="7" t="s">
        <v>21</v>
      </c>
      <c r="I53" s="7" t="s">
        <v>21</v>
      </c>
      <c r="J53" s="7" t="s">
        <v>235</v>
      </c>
    </row>
    <row r="54" spans="1:10" x14ac:dyDescent="0.25" outlineLevel="2" collapsed="1">
      <c r="A54" s="7" t="s">
        <v>19</v>
      </c>
      <c r="B54" s="7" t="s">
        <v>148</v>
      </c>
      <c r="C54" s="7" t="s">
        <v>21</v>
      </c>
      <c r="D54" s="7">
        <f>EXACT(G36,"CWT, CWS")</f>
      </c>
      <c r="E54" s="7" t="s">
        <v>236</v>
      </c>
      <c r="F54" s="7" t="s">
        <v>19</v>
      </c>
      <c r="G54" s="7" t="s">
        <v>41</v>
      </c>
      <c r="H54" s="7" t="s">
        <v>21</v>
      </c>
      <c r="I54" s="7" t="s">
        <v>21</v>
      </c>
      <c r="J54" s="7" t="s">
        <v>237</v>
      </c>
    </row>
    <row r="55" spans="1:10" x14ac:dyDescent="0.25" outlineLevel="2" collapsed="1">
      <c r="A55" s="7" t="s">
        <v>19</v>
      </c>
      <c r="B55" s="7" t="s">
        <v>167</v>
      </c>
      <c r="C55" s="7" t="s">
        <v>21</v>
      </c>
      <c r="D55" s="7">
        <f>EXACT(G36,"CWT, CWS")</f>
      </c>
      <c r="E55" s="7" t="s">
        <v>238</v>
      </c>
      <c r="F55" s="7" t="s">
        <v>19</v>
      </c>
      <c r="G55" s="7">
        <v>1</v>
      </c>
      <c r="H55" s="7" t="s">
        <v>21</v>
      </c>
      <c r="I55" s="7" t="s">
        <v>21</v>
      </c>
      <c r="J55" s="7" t="s">
        <v>239</v>
      </c>
    </row>
    <row r="56" spans="1:10" x14ac:dyDescent="0.25" outlineLevel="2" collapsed="1">
      <c r="A56" s="7" t="s">
        <v>19</v>
      </c>
      <c r="B56" s="7" t="s">
        <v>167</v>
      </c>
      <c r="C56" s="7" t="s">
        <v>21</v>
      </c>
      <c r="D56" s="7">
        <f>EXACT(G36,"CWT, CWS")</f>
      </c>
      <c r="E56" s="7" t="s">
        <v>240</v>
      </c>
      <c r="F56" s="7" t="s">
        <v>19</v>
      </c>
      <c r="G56" s="7">
        <v>1</v>
      </c>
      <c r="H56" s="7" t="s">
        <v>21</v>
      </c>
      <c r="I56" s="7" t="s">
        <v>21</v>
      </c>
      <c r="J56" s="7" t="s">
        <v>241</v>
      </c>
    </row>
    <row r="57" spans="1:10" x14ac:dyDescent="0.25" outlineLevel="2" collapsed="1">
      <c r="A57" s="7" t="s">
        <v>19</v>
      </c>
      <c r="B57" s="7" t="s">
        <v>148</v>
      </c>
      <c r="C57" s="7" t="s">
        <v>21</v>
      </c>
      <c r="D57" s="7">
        <f>EXACT(G36,"CWT, CWS")</f>
      </c>
      <c r="E57" s="7" t="s">
        <v>215</v>
      </c>
      <c r="F57" s="7" t="s">
        <v>19</v>
      </c>
      <c r="G57" s="7" t="s">
        <v>41</v>
      </c>
      <c r="H57" s="7" t="s">
        <v>21</v>
      </c>
      <c r="I57" s="7" t="s">
        <v>21</v>
      </c>
      <c r="J57" s="7" t="s">
        <v>242</v>
      </c>
    </row>
    <row r="58" spans="1:10" x14ac:dyDescent="0.25" outlineLevel="2" collapsed="1">
      <c r="A58" s="7" t="s">
        <v>19</v>
      </c>
      <c r="B58" s="7" t="s">
        <v>148</v>
      </c>
      <c r="C58" s="7" t="s">
        <v>21</v>
      </c>
      <c r="D58" s="7">
        <f>EXACT(G36,"CWT, CWS")</f>
      </c>
      <c r="E58" s="7" t="s">
        <v>217</v>
      </c>
      <c r="F58" s="7" t="s">
        <v>19</v>
      </c>
      <c r="G58" s="7" t="s">
        <v>41</v>
      </c>
      <c r="H58" s="7" t="s">
        <v>21</v>
      </c>
      <c r="I58" s="7" t="s">
        <v>21</v>
      </c>
      <c r="J58" s="7" t="s">
        <v>243</v>
      </c>
    </row>
    <row r="59" spans="1:10" x14ac:dyDescent="0.25" outlineLevel="2" collapsed="1">
      <c r="A59" s="7" t="s">
        <v>19</v>
      </c>
      <c r="B59" s="7" t="s">
        <v>148</v>
      </c>
      <c r="C59" s="7" t="s">
        <v>21</v>
      </c>
      <c r="D59" s="7">
        <f>EXACT(G36,"CWT, CWS")</f>
      </c>
      <c r="E59" s="7" t="s">
        <v>244</v>
      </c>
      <c r="F59" s="7" t="s">
        <v>19</v>
      </c>
      <c r="G59" s="7" t="s">
        <v>41</v>
      </c>
      <c r="H59" s="7" t="s">
        <v>21</v>
      </c>
      <c r="I59" s="7" t="s">
        <v>21</v>
      </c>
      <c r="J59" s="7" t="s">
        <v>245</v>
      </c>
    </row>
    <row r="60" spans="1:10" x14ac:dyDescent="0.25" outlineLevel="2" collapsed="1">
      <c r="A60" s="7" t="s">
        <v>19</v>
      </c>
      <c r="B60" s="7" t="s">
        <v>246</v>
      </c>
      <c r="C60" s="7" t="s">
        <v>21</v>
      </c>
      <c r="D60" s="7">
        <f>EXACT(G36,"CWT, CWS")</f>
      </c>
      <c r="E60" s="7" t="s">
        <v>247</v>
      </c>
      <c r="F60" s="7" t="s">
        <v>19</v>
      </c>
      <c r="G60" s="7" t="b">
        <v>1</v>
      </c>
      <c r="H60" s="7" t="s">
        <v>21</v>
      </c>
      <c r="I60" s="7" t="s">
        <v>21</v>
      </c>
      <c r="J60" s="7" t="s">
        <v>248</v>
      </c>
    </row>
    <row r="61" spans="1:10" x14ac:dyDescent="0.25" outlineLevel="2" collapsed="1">
      <c r="A61" s="7" t="s">
        <v>19</v>
      </c>
      <c r="B61" s="7" t="s">
        <v>148</v>
      </c>
      <c r="C61" s="7" t="s">
        <v>21</v>
      </c>
      <c r="D61" s="7">
        <f>EXACT(G36,"CWT, CWS")</f>
      </c>
      <c r="E61" s="7" t="s">
        <v>115</v>
      </c>
      <c r="F61" s="7" t="s">
        <v>19</v>
      </c>
      <c r="G61" s="7" t="s">
        <v>41</v>
      </c>
      <c r="H61" s="7" t="s">
        <v>21</v>
      </c>
      <c r="I61" s="7" t="s">
        <v>21</v>
      </c>
      <c r="J61" s="7" t="s">
        <v>249</v>
      </c>
    </row>
    <row r="62" spans="1:10" x14ac:dyDescent="0.25" outlineLevel="2" collapsed="1">
      <c r="A62" s="7" t="s">
        <v>19</v>
      </c>
      <c r="B62" s="7" t="s">
        <v>148</v>
      </c>
      <c r="C62" s="7" t="s">
        <v>21</v>
      </c>
      <c r="D62" s="7">
        <f>EXACT(G36,"CWT, CWS")</f>
      </c>
      <c r="E62" s="7" t="s">
        <v>250</v>
      </c>
      <c r="F62" s="7" t="s">
        <v>19</v>
      </c>
      <c r="G62" s="7" t="s">
        <v>41</v>
      </c>
      <c r="H62" s="7" t="s">
        <v>21</v>
      </c>
      <c r="I62" s="7" t="s">
        <v>21</v>
      </c>
      <c r="J62" s="7" t="s">
        <v>251</v>
      </c>
    </row>
    <row r="63" spans="1:10" x14ac:dyDescent="0.25" outlineLevel="2" collapsed="1">
      <c r="A63" s="7" t="s">
        <v>19</v>
      </c>
      <c r="B63" s="7" t="s">
        <v>56</v>
      </c>
      <c r="C63" s="7" t="s">
        <v>21</v>
      </c>
      <c r="D63" s="7">
        <f>EXACT(G36,"CWT, CWS")</f>
      </c>
      <c r="E63" s="7" t="s">
        <v>252</v>
      </c>
      <c r="F63" s="7" t="s">
        <v>19</v>
      </c>
      <c r="G63" s="7" t="s">
        <v>315</v>
      </c>
      <c r="H63" s="7" t="s">
        <v>21</v>
      </c>
      <c r="I63" s="7" t="s">
        <v>21</v>
      </c>
      <c r="J63" s="7" t="s">
        <v>254</v>
      </c>
    </row>
    <row r="64" spans="1:10" x14ac:dyDescent="0.25" outlineLevel="2" collapsed="1">
      <c r="A64" s="9" t="s">
        <v>19</v>
      </c>
      <c r="B64" s="10" t="s">
        <v>255</v>
      </c>
      <c r="C64" s="9" t="s">
        <v>21</v>
      </c>
      <c r="D64" s="9">
        <f>EXACT(G36,"CWT, CWS")</f>
      </c>
      <c r="E64" s="9" t="s">
        <v>256</v>
      </c>
      <c r="F64" s="9" t="s">
        <v>19</v>
      </c>
      <c r="G64" s="9" t="s">
        <v>21</v>
      </c>
      <c r="H64" s="9" t="s">
        <v>21</v>
      </c>
      <c r="I64" s="9" t="s">
        <v>21</v>
      </c>
      <c r="J64" s="9" t="s">
        <v>257</v>
      </c>
    </row>
    <row r="65" spans="1:10" x14ac:dyDescent="0.25" outlineLevel="3" collapsed="1">
      <c r="A65" s="7" t="s">
        <v>15</v>
      </c>
      <c r="B65" s="7" t="s">
        <v>246</v>
      </c>
      <c r="C65" s="7" t="s">
        <v>21</v>
      </c>
      <c r="D65" s="7"/>
      <c r="E65" s="7" t="s">
        <v>258</v>
      </c>
      <c r="F65" s="7" t="s">
        <v>19</v>
      </c>
      <c r="G65" s="7" t="b">
        <v>1</v>
      </c>
      <c r="H65" s="7" t="s">
        <v>21</v>
      </c>
      <c r="I65" s="7" t="s">
        <v>21</v>
      </c>
      <c r="J65" s="7" t="s">
        <v>259</v>
      </c>
    </row>
    <row r="66" spans="1:10" x14ac:dyDescent="0.25" outlineLevel="3" collapsed="1">
      <c r="A66" s="7" t="s">
        <v>19</v>
      </c>
      <c r="B66" s="7" t="s">
        <v>175</v>
      </c>
      <c r="C66" s="7" t="s">
        <v>21</v>
      </c>
      <c r="D66" s="7">
        <f>EXACT(G65,true)</f>
      </c>
      <c r="E66" s="7" t="s">
        <v>260</v>
      </c>
      <c r="F66" s="7" t="s">
        <v>19</v>
      </c>
      <c r="G66" s="7" t="s">
        <v>177</v>
      </c>
      <c r="H66" s="7" t="s">
        <v>21</v>
      </c>
      <c r="I66" s="7" t="s">
        <v>21</v>
      </c>
      <c r="J66" s="7" t="s">
        <v>261</v>
      </c>
    </row>
    <row r="67" spans="1:10" x14ac:dyDescent="0.25" outlineLevel="3" collapsed="1">
      <c r="A67" s="7" t="s">
        <v>19</v>
      </c>
      <c r="B67" s="7" t="s">
        <v>16</v>
      </c>
      <c r="C67" s="7" t="s">
        <v>262</v>
      </c>
      <c r="D67" s="7">
        <f>EXACT(G65,true)</f>
      </c>
      <c r="E67" s="7" t="s">
        <v>263</v>
      </c>
      <c r="F67" s="7" t="s">
        <v>19</v>
      </c>
      <c r="G67" s="7" t="s">
        <v>316</v>
      </c>
      <c r="H67" s="7" t="s">
        <v>21</v>
      </c>
      <c r="I67" s="7" t="s">
        <v>21</v>
      </c>
      <c r="J67" s="7" t="s">
        <v>265</v>
      </c>
    </row>
    <row r="68" spans="1:10" x14ac:dyDescent="0.25" outlineLevel="3" collapsed="1">
      <c r="A68" s="7" t="s">
        <v>19</v>
      </c>
      <c r="B68" s="7" t="s">
        <v>175</v>
      </c>
      <c r="C68" s="7" t="s">
        <v>21</v>
      </c>
      <c r="D68" s="7">
        <f>EXACT(G65,true)</f>
      </c>
      <c r="E68" s="7" t="s">
        <v>266</v>
      </c>
      <c r="F68" s="7" t="s">
        <v>19</v>
      </c>
      <c r="G68" s="7" t="s">
        <v>177</v>
      </c>
      <c r="H68" s="7" t="s">
        <v>21</v>
      </c>
      <c r="I68" s="7" t="s">
        <v>21</v>
      </c>
      <c r="J68" s="7" t="s">
        <v>267</v>
      </c>
    </row>
    <row r="69" spans="1:10" x14ac:dyDescent="0.25" outlineLevel="3" collapsed="1">
      <c r="A69" s="7" t="s">
        <v>19</v>
      </c>
      <c r="B69" s="7" t="s">
        <v>56</v>
      </c>
      <c r="C69" s="7" t="s">
        <v>21</v>
      </c>
      <c r="D69" s="7">
        <f>EXACT(G65,true)</f>
      </c>
      <c r="E69" s="7" t="s">
        <v>268</v>
      </c>
      <c r="F69" s="7" t="s">
        <v>19</v>
      </c>
      <c r="G69" s="7" t="s">
        <v>317</v>
      </c>
      <c r="H69" s="7" t="s">
        <v>21</v>
      </c>
      <c r="I69" s="7" t="s">
        <v>21</v>
      </c>
      <c r="J69" s="7" t="s">
        <v>270</v>
      </c>
    </row>
    <row r="70" spans="1:10" x14ac:dyDescent="0.25" outlineLevel="3" collapsed="1">
      <c r="A70" s="7" t="s">
        <v>19</v>
      </c>
      <c r="B70" s="7" t="s">
        <v>56</v>
      </c>
      <c r="C70" s="7" t="s">
        <v>21</v>
      </c>
      <c r="D70" s="7">
        <f>EXACT(G65,true)</f>
      </c>
      <c r="E70" s="7" t="s">
        <v>271</v>
      </c>
      <c r="F70" s="7" t="s">
        <v>19</v>
      </c>
      <c r="G70" s="7" t="s">
        <v>318</v>
      </c>
      <c r="H70" s="7" t="s">
        <v>21</v>
      </c>
      <c r="I70" s="7" t="s">
        <v>21</v>
      </c>
      <c r="J70" s="7" t="s">
        <v>273</v>
      </c>
    </row>
    <row r="71" spans="1:10" x14ac:dyDescent="0.25" outlineLevel="2" collapsed="1">
      <c r="A71" s="9" t="s">
        <v>19</v>
      </c>
      <c r="B71" s="10" t="s">
        <v>319</v>
      </c>
      <c r="C71" s="9" t="s">
        <v>21</v>
      </c>
      <c r="D71" s="9">
        <f>EXACT(G36,"CWT, CWS")</f>
      </c>
      <c r="E71" s="9" t="s">
        <v>320</v>
      </c>
      <c r="F71" s="9" t="s">
        <v>19</v>
      </c>
      <c r="G71" s="9" t="s">
        <v>21</v>
      </c>
      <c r="H71" s="9" t="s">
        <v>21</v>
      </c>
      <c r="I71" s="9" t="s">
        <v>21</v>
      </c>
      <c r="J71" s="9" t="s">
        <v>321</v>
      </c>
    </row>
    <row r="72" spans="1:10" x14ac:dyDescent="0.25" outlineLevel="3" collapsed="1">
      <c r="A72" s="7" t="s">
        <v>15</v>
      </c>
      <c r="B72" s="7" t="s">
        <v>148</v>
      </c>
      <c r="C72" s="7" t="s">
        <v>21</v>
      </c>
      <c r="D72" s="7"/>
      <c r="E72" s="7" t="s">
        <v>322</v>
      </c>
      <c r="F72" s="7" t="s">
        <v>19</v>
      </c>
      <c r="G72" s="7" t="s">
        <v>41</v>
      </c>
      <c r="H72" s="7" t="s">
        <v>21</v>
      </c>
      <c r="I72" s="7" t="s">
        <v>21</v>
      </c>
      <c r="J72" s="7" t="s">
        <v>323</v>
      </c>
    </row>
    <row r="73" spans="1:10" x14ac:dyDescent="0.25" outlineLevel="3" collapsed="1">
      <c r="A73" s="7" t="s">
        <v>15</v>
      </c>
      <c r="B73" s="7" t="s">
        <v>148</v>
      </c>
      <c r="C73" s="7" t="s">
        <v>21</v>
      </c>
      <c r="D73" s="7"/>
      <c r="E73" s="7" t="s">
        <v>324</v>
      </c>
      <c r="F73" s="7" t="s">
        <v>19</v>
      </c>
      <c r="G73" s="7" t="s">
        <v>41</v>
      </c>
      <c r="H73" s="7" t="s">
        <v>21</v>
      </c>
      <c r="I73" s="7" t="s">
        <v>21</v>
      </c>
      <c r="J73" s="7" t="s">
        <v>325</v>
      </c>
    </row>
    <row r="74" spans="1:10" x14ac:dyDescent="0.25" outlineLevel="3" collapsed="1">
      <c r="A74" s="7" t="s">
        <v>15</v>
      </c>
      <c r="B74" s="7" t="s">
        <v>148</v>
      </c>
      <c r="C74" s="7" t="s">
        <v>21</v>
      </c>
      <c r="D74" s="7"/>
      <c r="E74" s="7" t="s">
        <v>326</v>
      </c>
      <c r="F74" s="7" t="s">
        <v>19</v>
      </c>
      <c r="G74" s="7" t="s">
        <v>41</v>
      </c>
      <c r="H74" s="7" t="s">
        <v>21</v>
      </c>
      <c r="I74" s="7" t="s">
        <v>21</v>
      </c>
      <c r="J74" s="7" t="s">
        <v>327</v>
      </c>
    </row>
    <row r="75" spans="1:10" x14ac:dyDescent="0.25" outlineLevel="3" collapsed="1">
      <c r="A75" s="7" t="s">
        <v>15</v>
      </c>
      <c r="B75" s="7" t="s">
        <v>148</v>
      </c>
      <c r="C75" s="7" t="s">
        <v>21</v>
      </c>
      <c r="D75" s="7"/>
      <c r="E75" s="7" t="s">
        <v>328</v>
      </c>
      <c r="F75" s="7" t="s">
        <v>19</v>
      </c>
      <c r="G75" s="7" t="s">
        <v>41</v>
      </c>
      <c r="H75" s="7" t="s">
        <v>21</v>
      </c>
      <c r="I75" s="7" t="s">
        <v>21</v>
      </c>
      <c r="J75" s="7" t="s">
        <v>329</v>
      </c>
    </row>
    <row r="76" spans="1:10" x14ac:dyDescent="0.25" outlineLevel="3" collapsed="1">
      <c r="A76" s="7" t="s">
        <v>15</v>
      </c>
      <c r="B76" s="7" t="s">
        <v>56</v>
      </c>
      <c r="C76" s="7" t="s">
        <v>21</v>
      </c>
      <c r="D76" s="7"/>
      <c r="E76" s="7" t="s">
        <v>330</v>
      </c>
      <c r="F76" s="7" t="s">
        <v>19</v>
      </c>
      <c r="G76" s="7" t="s">
        <v>331</v>
      </c>
      <c r="H76" s="7" t="s">
        <v>21</v>
      </c>
      <c r="I76" s="7" t="s">
        <v>21</v>
      </c>
      <c r="J76" s="7" t="s">
        <v>332</v>
      </c>
    </row>
    <row r="77" spans="1:10" x14ac:dyDescent="0.25" outlineLevel="1" collapsed="1">
      <c r="A77" s="7" t="s">
        <v>15</v>
      </c>
      <c r="B77" s="7" t="s">
        <v>148</v>
      </c>
      <c r="C77" s="7" t="s">
        <v>21</v>
      </c>
      <c r="D77" s="7"/>
      <c r="E77" s="7" t="s">
        <v>274</v>
      </c>
      <c r="F77" s="7" t="s">
        <v>19</v>
      </c>
      <c r="G77" s="7" t="s">
        <v>41</v>
      </c>
      <c r="H77" s="7" t="s">
        <v>21</v>
      </c>
      <c r="I77" s="7" t="s">
        <v>21</v>
      </c>
      <c r="J77" s="7" t="s">
        <v>275</v>
      </c>
    </row>
    <row r="78" spans="1:10" x14ac:dyDescent="0.25">
      <c r="A78" s="5" t="s">
        <v>15</v>
      </c>
      <c r="B78" s="6" t="s">
        <v>333</v>
      </c>
      <c r="C78" s="5" t="s">
        <v>21</v>
      </c>
      <c r="D78" s="5"/>
      <c r="E78" s="5" t="s">
        <v>334</v>
      </c>
      <c r="F78" s="5" t="s">
        <v>19</v>
      </c>
      <c r="G78" s="5" t="s">
        <v>335</v>
      </c>
      <c r="H78" s="5" t="s">
        <v>21</v>
      </c>
      <c r="I78" s="5" t="s">
        <v>21</v>
      </c>
      <c r="J78" s="5" t="s">
        <v>336</v>
      </c>
    </row>
    <row r="79" spans="1:10" x14ac:dyDescent="0.25" outlineLevel="1" collapsed="1">
      <c r="A79" s="7" t="s">
        <v>15</v>
      </c>
      <c r="B79" s="7" t="s">
        <v>148</v>
      </c>
      <c r="C79" s="7" t="s">
        <v>21</v>
      </c>
      <c r="D79" s="7"/>
      <c r="E79" s="7" t="s">
        <v>337</v>
      </c>
      <c r="F79" s="7" t="s">
        <v>19</v>
      </c>
      <c r="G79" s="7" t="s">
        <v>338</v>
      </c>
      <c r="H79" s="7" t="s">
        <v>21</v>
      </c>
      <c r="I79" s="7" t="s">
        <v>21</v>
      </c>
      <c r="J79" s="7" t="s">
        <v>336</v>
      </c>
    </row>
    <row r="80" spans="1:10" x14ac:dyDescent="0.25" outlineLevel="1" collapsed="1">
      <c r="A80" s="7" t="s">
        <v>15</v>
      </c>
      <c r="B80" s="7" t="s">
        <v>148</v>
      </c>
      <c r="C80" s="7" t="s">
        <v>21</v>
      </c>
      <c r="D80" s="7"/>
      <c r="E80" s="7" t="s">
        <v>339</v>
      </c>
      <c r="F80" s="7" t="s">
        <v>19</v>
      </c>
      <c r="G80" s="7" t="s">
        <v>340</v>
      </c>
      <c r="H80" s="7" t="s">
        <v>21</v>
      </c>
      <c r="I80" s="7" t="s">
        <v>21</v>
      </c>
      <c r="J80" s="7" t="s">
        <v>341</v>
      </c>
    </row>
    <row r="81" spans="1:10" x14ac:dyDescent="0.25" outlineLevel="1" collapsed="1">
      <c r="A81" s="7" t="s">
        <v>15</v>
      </c>
      <c r="B81" s="7" t="s">
        <v>148</v>
      </c>
      <c r="C81" s="7" t="s">
        <v>21</v>
      </c>
      <c r="D81" s="7"/>
      <c r="E81" s="7" t="s">
        <v>342</v>
      </c>
      <c r="F81" s="7" t="s">
        <v>19</v>
      </c>
      <c r="G81" s="7" t="s">
        <v>343</v>
      </c>
      <c r="H81" s="7" t="s">
        <v>21</v>
      </c>
      <c r="I81" s="7" t="s">
        <v>21</v>
      </c>
      <c r="J81" s="7" t="s">
        <v>344</v>
      </c>
    </row>
    <row r="82" spans="1:10" x14ac:dyDescent="0.25" outlineLevel="1" collapsed="1">
      <c r="A82" s="7" t="s">
        <v>19</v>
      </c>
      <c r="B82" s="7" t="s">
        <v>56</v>
      </c>
      <c r="C82" s="7" t="s">
        <v>21</v>
      </c>
      <c r="D82" s="7"/>
      <c r="E82" s="7" t="s">
        <v>345</v>
      </c>
      <c r="F82" s="7" t="s">
        <v>19</v>
      </c>
      <c r="G82" s="7" t="s">
        <v>346</v>
      </c>
      <c r="H82" s="7" t="s">
        <v>21</v>
      </c>
      <c r="I82" s="7" t="s">
        <v>21</v>
      </c>
      <c r="J82" s="7" t="s">
        <v>347</v>
      </c>
    </row>
    <row r="83" spans="1:10" x14ac:dyDescent="0.25">
      <c r="A83" s="5" t="s">
        <v>15</v>
      </c>
      <c r="B83" s="6" t="s">
        <v>348</v>
      </c>
      <c r="C83" s="5" t="s">
        <v>21</v>
      </c>
      <c r="D83" s="5"/>
      <c r="E83" s="5" t="s">
        <v>349</v>
      </c>
      <c r="F83" s="5" t="s">
        <v>19</v>
      </c>
      <c r="G83" s="5" t="s">
        <v>350</v>
      </c>
      <c r="H83" s="5" t="s">
        <v>21</v>
      </c>
      <c r="I83" s="5" t="s">
        <v>21</v>
      </c>
      <c r="J83" s="5" t="s">
        <v>351</v>
      </c>
    </row>
    <row r="84" spans="1:10" x14ac:dyDescent="0.25" outlineLevel="1" collapsed="1">
      <c r="A84" s="9" t="s">
        <v>15</v>
      </c>
      <c r="B84" s="10" t="s">
        <v>352</v>
      </c>
      <c r="C84" s="9" t="s">
        <v>21</v>
      </c>
      <c r="D84" s="9"/>
      <c r="E84" s="9" t="s">
        <v>353</v>
      </c>
      <c r="F84" s="9" t="s">
        <v>19</v>
      </c>
      <c r="G84" s="9" t="s">
        <v>21</v>
      </c>
      <c r="H84" s="9" t="s">
        <v>21</v>
      </c>
      <c r="I84" s="9" t="s">
        <v>21</v>
      </c>
      <c r="J84" s="9" t="s">
        <v>354</v>
      </c>
    </row>
    <row r="85" spans="1:10" x14ac:dyDescent="0.25" outlineLevel="2" collapsed="1">
      <c r="A85" s="7" t="s">
        <v>15</v>
      </c>
      <c r="B85" s="7" t="s">
        <v>148</v>
      </c>
      <c r="C85" s="7" t="s">
        <v>21</v>
      </c>
      <c r="D85" s="7"/>
      <c r="E85" s="7" t="s">
        <v>355</v>
      </c>
      <c r="F85" s="7" t="s">
        <v>19</v>
      </c>
      <c r="G85" s="7" t="s">
        <v>41</v>
      </c>
      <c r="H85" s="7" t="s">
        <v>21</v>
      </c>
      <c r="I85" s="7" t="s">
        <v>21</v>
      </c>
      <c r="J85" s="7" t="s">
        <v>356</v>
      </c>
    </row>
    <row r="86" spans="1:10" x14ac:dyDescent="0.25" outlineLevel="2" collapsed="1">
      <c r="A86" s="7" t="s">
        <v>15</v>
      </c>
      <c r="B86" s="7" t="s">
        <v>27</v>
      </c>
      <c r="C86" s="8" t="s">
        <v>357</v>
      </c>
      <c r="D86" s="7"/>
      <c r="E86" s="7" t="s">
        <v>358</v>
      </c>
      <c r="F86" s="7" t="s">
        <v>19</v>
      </c>
      <c r="G86" s="7" t="s">
        <v>359</v>
      </c>
      <c r="H86" s="7" t="s">
        <v>21</v>
      </c>
      <c r="I86" s="7" t="s">
        <v>21</v>
      </c>
      <c r="J86" s="7" t="s">
        <v>360</v>
      </c>
    </row>
    <row r="87" spans="1:10" x14ac:dyDescent="0.25" outlineLevel="2" collapsed="1">
      <c r="A87" s="7" t="s">
        <v>15</v>
      </c>
      <c r="B87" s="7" t="s">
        <v>56</v>
      </c>
      <c r="C87" s="7" t="s">
        <v>21</v>
      </c>
      <c r="D87" s="7"/>
      <c r="E87" s="7" t="s">
        <v>361</v>
      </c>
      <c r="F87" s="7" t="s">
        <v>19</v>
      </c>
      <c r="G87" s="7" t="s">
        <v>362</v>
      </c>
      <c r="H87" s="7" t="s">
        <v>21</v>
      </c>
      <c r="I87" s="7" t="s">
        <v>21</v>
      </c>
      <c r="J87" s="7" t="s">
        <v>363</v>
      </c>
    </row>
    <row r="88" spans="1:10" x14ac:dyDescent="0.25" outlineLevel="2" collapsed="1">
      <c r="A88" s="7" t="s">
        <v>15</v>
      </c>
      <c r="B88" s="7" t="s">
        <v>56</v>
      </c>
      <c r="C88" s="7" t="s">
        <v>21</v>
      </c>
      <c r="D88" s="7"/>
      <c r="E88" s="7" t="s">
        <v>364</v>
      </c>
      <c r="F88" s="7" t="s">
        <v>19</v>
      </c>
      <c r="G88" s="7" t="s">
        <v>365</v>
      </c>
      <c r="H88" s="7" t="s">
        <v>21</v>
      </c>
      <c r="I88" s="7" t="s">
        <v>21</v>
      </c>
      <c r="J88" s="7" t="s">
        <v>366</v>
      </c>
    </row>
    <row r="89" spans="1:10" x14ac:dyDescent="0.25" outlineLevel="2" collapsed="1">
      <c r="A89" s="7" t="s">
        <v>15</v>
      </c>
      <c r="B89" s="7" t="s">
        <v>56</v>
      </c>
      <c r="C89" s="7" t="s">
        <v>21</v>
      </c>
      <c r="D89" s="7"/>
      <c r="E89" s="7" t="s">
        <v>367</v>
      </c>
      <c r="F89" s="7" t="s">
        <v>19</v>
      </c>
      <c r="G89" s="7" t="s">
        <v>368</v>
      </c>
      <c r="H89" s="7" t="s">
        <v>21</v>
      </c>
      <c r="I89" s="7" t="s">
        <v>21</v>
      </c>
      <c r="J89" s="7" t="s">
        <v>369</v>
      </c>
    </row>
    <row r="90" spans="1:10" x14ac:dyDescent="0.25" outlineLevel="2" collapsed="1">
      <c r="A90" s="7" t="s">
        <v>15</v>
      </c>
      <c r="B90" s="7" t="s">
        <v>27</v>
      </c>
      <c r="C90" s="8" t="s">
        <v>370</v>
      </c>
      <c r="D90" s="7"/>
      <c r="E90" s="7" t="s">
        <v>371</v>
      </c>
      <c r="F90" s="7" t="s">
        <v>19</v>
      </c>
      <c r="G90" s="7" t="s">
        <v>372</v>
      </c>
      <c r="H90" s="7" t="s">
        <v>21</v>
      </c>
      <c r="I90" s="7" t="s">
        <v>21</v>
      </c>
      <c r="J90" s="7" t="s">
        <v>373</v>
      </c>
    </row>
    <row r="91" spans="1:10" x14ac:dyDescent="0.25" outlineLevel="2" collapsed="1">
      <c r="A91" s="7" t="s">
        <v>19</v>
      </c>
      <c r="B91" s="7" t="s">
        <v>148</v>
      </c>
      <c r="C91" s="7" t="s">
        <v>21</v>
      </c>
      <c r="D91" s="7">
        <f>EXACT(G90,"Other")</f>
      </c>
      <c r="E91" s="7" t="s">
        <v>374</v>
      </c>
      <c r="F91" s="7" t="s">
        <v>19</v>
      </c>
      <c r="G91" s="7" t="s">
        <v>41</v>
      </c>
      <c r="H91" s="7" t="s">
        <v>21</v>
      </c>
      <c r="I91" s="7" t="s">
        <v>21</v>
      </c>
      <c r="J91" s="7" t="s">
        <v>198</v>
      </c>
    </row>
    <row r="92" spans="1:10" x14ac:dyDescent="0.25" outlineLevel="2" collapsed="1">
      <c r="A92" s="7" t="s">
        <v>19</v>
      </c>
      <c r="B92" s="7" t="s">
        <v>56</v>
      </c>
      <c r="C92" s="7" t="s">
        <v>21</v>
      </c>
      <c r="D92" s="7"/>
      <c r="E92" s="7" t="s">
        <v>375</v>
      </c>
      <c r="F92" s="7" t="s">
        <v>19</v>
      </c>
      <c r="G92" s="7" t="s">
        <v>376</v>
      </c>
      <c r="H92" s="7" t="s">
        <v>21</v>
      </c>
      <c r="I92" s="7" t="s">
        <v>21</v>
      </c>
      <c r="J92" s="7" t="s">
        <v>377</v>
      </c>
    </row>
    <row r="93" spans="1:10" x14ac:dyDescent="0.25" outlineLevel="1" collapsed="1">
      <c r="A93" s="9" t="s">
        <v>15</v>
      </c>
      <c r="B93" s="10" t="s">
        <v>378</v>
      </c>
      <c r="C93" s="9" t="s">
        <v>21</v>
      </c>
      <c r="D93" s="9"/>
      <c r="E93" s="9" t="s">
        <v>378</v>
      </c>
      <c r="F93" s="9" t="s">
        <v>19</v>
      </c>
      <c r="G93" s="9" t="s">
        <v>21</v>
      </c>
      <c r="H93" s="9" t="s">
        <v>21</v>
      </c>
      <c r="I93" s="9" t="s">
        <v>21</v>
      </c>
      <c r="J93" s="9" t="s">
        <v>379</v>
      </c>
    </row>
    <row r="94" spans="1:10" x14ac:dyDescent="0.25" outlineLevel="2" collapsed="1">
      <c r="A94" s="7" t="s">
        <v>15</v>
      </c>
      <c r="B94" s="7" t="s">
        <v>167</v>
      </c>
      <c r="C94" s="7" t="s">
        <v>21</v>
      </c>
      <c r="D94" s="7"/>
      <c r="E94" s="7" t="s">
        <v>380</v>
      </c>
      <c r="F94" s="7" t="s">
        <v>19</v>
      </c>
      <c r="G94" s="7">
        <v>5000</v>
      </c>
      <c r="H94" s="7" t="s">
        <v>21</v>
      </c>
      <c r="I94" s="7" t="s">
        <v>21</v>
      </c>
      <c r="J94" s="7" t="s">
        <v>381</v>
      </c>
    </row>
    <row r="95" spans="1:10" x14ac:dyDescent="0.25" outlineLevel="2" collapsed="1">
      <c r="A95" s="7" t="s">
        <v>15</v>
      </c>
      <c r="B95" s="7" t="s">
        <v>167</v>
      </c>
      <c r="C95" s="7" t="s">
        <v>21</v>
      </c>
      <c r="D95" s="7"/>
      <c r="E95" s="7" t="s">
        <v>382</v>
      </c>
      <c r="F95" s="7" t="s">
        <v>19</v>
      </c>
      <c r="G95" s="7">
        <v>200</v>
      </c>
      <c r="H95" s="7" t="s">
        <v>21</v>
      </c>
      <c r="I95" s="7" t="s">
        <v>21</v>
      </c>
      <c r="J95" s="7" t="s">
        <v>383</v>
      </c>
    </row>
    <row r="96" spans="1:10" x14ac:dyDescent="0.25" outlineLevel="2" collapsed="1">
      <c r="A96" s="7" t="s">
        <v>15</v>
      </c>
      <c r="B96" s="7" t="s">
        <v>167</v>
      </c>
      <c r="C96" s="7" t="s">
        <v>21</v>
      </c>
      <c r="D96" s="7"/>
      <c r="E96" s="7" t="s">
        <v>384</v>
      </c>
      <c r="F96" s="7" t="s">
        <v>19</v>
      </c>
      <c r="G96" s="7">
        <v>50</v>
      </c>
      <c r="H96" s="7" t="s">
        <v>21</v>
      </c>
      <c r="I96" s="7" t="s">
        <v>21</v>
      </c>
      <c r="J96" s="7" t="s">
        <v>385</v>
      </c>
    </row>
    <row r="97" spans="1:10" x14ac:dyDescent="0.25" outlineLevel="2" collapsed="1">
      <c r="A97" s="7" t="s">
        <v>19</v>
      </c>
      <c r="B97" s="7" t="s">
        <v>167</v>
      </c>
      <c r="C97" s="7" t="s">
        <v>21</v>
      </c>
      <c r="D97" s="7" t="s">
        <v>386</v>
      </c>
      <c r="E97" s="7" t="s">
        <v>387</v>
      </c>
      <c r="F97" s="7" t="s">
        <v>19</v>
      </c>
      <c r="G97" s="7">
        <v>4750</v>
      </c>
      <c r="H97" s="7" t="s">
        <v>21</v>
      </c>
      <c r="I97" s="7" t="s">
        <v>21</v>
      </c>
      <c r="J97" s="7" t="s">
        <v>388</v>
      </c>
    </row>
    <row r="98" spans="1:10" x14ac:dyDescent="0.25">
      <c r="A98" s="5" t="s">
        <v>15</v>
      </c>
      <c r="B98" s="6" t="s">
        <v>389</v>
      </c>
      <c r="C98" s="5" t="s">
        <v>21</v>
      </c>
      <c r="D98" s="5"/>
      <c r="E98" s="5" t="s">
        <v>390</v>
      </c>
      <c r="F98" s="5" t="s">
        <v>19</v>
      </c>
      <c r="G98" s="5" t="s">
        <v>391</v>
      </c>
      <c r="H98" s="5" t="s">
        <v>21</v>
      </c>
      <c r="I98" s="5" t="s">
        <v>21</v>
      </c>
      <c r="J98" s="5" t="s">
        <v>392</v>
      </c>
    </row>
    <row r="99" spans="1:10" x14ac:dyDescent="0.25" outlineLevel="1" collapsed="1">
      <c r="A99" s="7" t="s">
        <v>15</v>
      </c>
      <c r="B99" s="7" t="s">
        <v>175</v>
      </c>
      <c r="C99" s="7" t="s">
        <v>21</v>
      </c>
      <c r="D99" s="7"/>
      <c r="E99" s="7" t="s">
        <v>176</v>
      </c>
      <c r="F99" s="7" t="s">
        <v>19</v>
      </c>
      <c r="G99" s="7" t="s">
        <v>177</v>
      </c>
      <c r="H99" s="7" t="s">
        <v>21</v>
      </c>
      <c r="I99" s="7" t="s">
        <v>21</v>
      </c>
      <c r="J99" s="7" t="s">
        <v>178</v>
      </c>
    </row>
    <row r="100" spans="1:10" x14ac:dyDescent="0.25" outlineLevel="1" collapsed="1">
      <c r="A100" s="9" t="s">
        <v>15</v>
      </c>
      <c r="B100" s="10" t="s">
        <v>393</v>
      </c>
      <c r="C100" s="9" t="s">
        <v>21</v>
      </c>
      <c r="D100" s="9"/>
      <c r="E100" s="9" t="s">
        <v>394</v>
      </c>
      <c r="F100" s="9" t="s">
        <v>19</v>
      </c>
      <c r="G100" s="9" t="s">
        <v>21</v>
      </c>
      <c r="H100" s="9" t="s">
        <v>21</v>
      </c>
      <c r="I100" s="9" t="s">
        <v>21</v>
      </c>
      <c r="J100" s="9" t="s">
        <v>395</v>
      </c>
    </row>
    <row r="101" spans="1:10" x14ac:dyDescent="0.25" outlineLevel="2" collapsed="1">
      <c r="A101" s="7" t="s">
        <v>15</v>
      </c>
      <c r="B101" s="7" t="s">
        <v>175</v>
      </c>
      <c r="C101" s="7" t="s">
        <v>21</v>
      </c>
      <c r="D101" s="7"/>
      <c r="E101" s="7" t="s">
        <v>396</v>
      </c>
      <c r="F101" s="7" t="s">
        <v>19</v>
      </c>
      <c r="G101" s="7" t="s">
        <v>177</v>
      </c>
      <c r="H101" s="7" t="s">
        <v>21</v>
      </c>
      <c r="I101" s="7" t="s">
        <v>21</v>
      </c>
      <c r="J101" s="7" t="s">
        <v>397</v>
      </c>
    </row>
    <row r="102" spans="1:10" x14ac:dyDescent="0.25" outlineLevel="2" collapsed="1">
      <c r="A102" s="7" t="s">
        <v>15</v>
      </c>
      <c r="B102" s="7" t="s">
        <v>175</v>
      </c>
      <c r="C102" s="7" t="s">
        <v>21</v>
      </c>
      <c r="D102" s="7"/>
      <c r="E102" s="7" t="s">
        <v>398</v>
      </c>
      <c r="F102" s="7" t="s">
        <v>19</v>
      </c>
      <c r="G102" s="7" t="s">
        <v>177</v>
      </c>
      <c r="H102" s="7" t="s">
        <v>21</v>
      </c>
      <c r="I102" s="7" t="s">
        <v>21</v>
      </c>
      <c r="J102" s="7" t="s">
        <v>399</v>
      </c>
    </row>
    <row r="103" spans="1:10" x14ac:dyDescent="0.25" outlineLevel="1" collapsed="1">
      <c r="A103" s="7" t="s">
        <v>19</v>
      </c>
      <c r="B103" s="7" t="s">
        <v>148</v>
      </c>
      <c r="C103" s="7" t="s">
        <v>21</v>
      </c>
      <c r="D103" s="7" t="s">
        <v>386</v>
      </c>
      <c r="E103" s="7" t="s">
        <v>400</v>
      </c>
      <c r="F103" s="7" t="s">
        <v>19</v>
      </c>
      <c r="G103" s="7" t="s">
        <v>41</v>
      </c>
      <c r="H103" s="7" t="s">
        <v>21</v>
      </c>
      <c r="I103" s="7" t="s">
        <v>21</v>
      </c>
      <c r="J103" s="7" t="s">
        <v>401</v>
      </c>
    </row>
    <row r="104" spans="1:10" x14ac:dyDescent="0.25" outlineLevel="1" collapsed="1">
      <c r="A104" s="7" t="s">
        <v>15</v>
      </c>
      <c r="B104" s="7" t="s">
        <v>27</v>
      </c>
      <c r="C104" s="8" t="s">
        <v>402</v>
      </c>
      <c r="D104" s="7"/>
      <c r="E104" s="7" t="s">
        <v>403</v>
      </c>
      <c r="F104" s="7" t="s">
        <v>19</v>
      </c>
      <c r="G104" s="7" t="s">
        <v>404</v>
      </c>
      <c r="H104" s="7" t="s">
        <v>21</v>
      </c>
      <c r="I104" s="7" t="s">
        <v>21</v>
      </c>
      <c r="J104" s="7" t="s">
        <v>405</v>
      </c>
    </row>
    <row r="105" spans="1:10" x14ac:dyDescent="0.25">
      <c r="A105" s="5" t="s">
        <v>15</v>
      </c>
      <c r="B105" s="6" t="s">
        <v>406</v>
      </c>
      <c r="C105" s="5" t="s">
        <v>21</v>
      </c>
      <c r="D105" s="5"/>
      <c r="E105" s="5" t="s">
        <v>407</v>
      </c>
      <c r="F105" s="5" t="s">
        <v>19</v>
      </c>
      <c r="G105" s="5" t="s">
        <v>408</v>
      </c>
      <c r="H105" s="5" t="s">
        <v>21</v>
      </c>
      <c r="I105" s="5" t="s">
        <v>21</v>
      </c>
      <c r="J105" s="5" t="s">
        <v>409</v>
      </c>
    </row>
    <row r="106" spans="1:10" x14ac:dyDescent="0.25" outlineLevel="1" collapsed="1">
      <c r="A106" s="7" t="s">
        <v>15</v>
      </c>
      <c r="B106" s="7" t="s">
        <v>410</v>
      </c>
      <c r="C106" s="7" t="s">
        <v>21</v>
      </c>
      <c r="D106" s="7"/>
      <c r="E106" s="7" t="s">
        <v>411</v>
      </c>
      <c r="F106" s="7" t="s">
        <v>19</v>
      </c>
      <c r="G106" s="7">
        <v>1</v>
      </c>
      <c r="H106" s="7" t="s">
        <v>21</v>
      </c>
      <c r="I106" s="7" t="s">
        <v>21</v>
      </c>
      <c r="J106" s="7" t="s">
        <v>412</v>
      </c>
    </row>
    <row r="107" spans="1:10" x14ac:dyDescent="0.25" outlineLevel="1" collapsed="1">
      <c r="A107" s="7" t="s">
        <v>15</v>
      </c>
      <c r="B107" s="7" t="s">
        <v>410</v>
      </c>
      <c r="C107" s="7" t="s">
        <v>21</v>
      </c>
      <c r="D107" s="7"/>
      <c r="E107" s="7" t="s">
        <v>413</v>
      </c>
      <c r="F107" s="7" t="s">
        <v>19</v>
      </c>
      <c r="G107" s="7">
        <v>1</v>
      </c>
      <c r="H107" s="7" t="s">
        <v>21</v>
      </c>
      <c r="I107" s="7" t="s">
        <v>21</v>
      </c>
      <c r="J107" s="7" t="s">
        <v>414</v>
      </c>
    </row>
    <row r="108" spans="1:10" x14ac:dyDescent="0.25" outlineLevel="1" collapsed="1">
      <c r="A108" s="7" t="s">
        <v>15</v>
      </c>
      <c r="B108" s="7" t="s">
        <v>246</v>
      </c>
      <c r="C108" s="7" t="s">
        <v>21</v>
      </c>
      <c r="D108" s="7"/>
      <c r="E108" s="7" t="s">
        <v>415</v>
      </c>
      <c r="F108" s="7" t="s">
        <v>19</v>
      </c>
      <c r="G108" s="7" t="b">
        <v>1</v>
      </c>
      <c r="H108" s="7" t="s">
        <v>21</v>
      </c>
      <c r="I108" s="7" t="s">
        <v>21</v>
      </c>
      <c r="J108" s="7" t="s">
        <v>416</v>
      </c>
    </row>
    <row r="109" spans="1:10" x14ac:dyDescent="0.25" outlineLevel="1" collapsed="1">
      <c r="A109" s="7" t="s">
        <v>15</v>
      </c>
      <c r="B109" s="7" t="s">
        <v>246</v>
      </c>
      <c r="C109" s="7" t="s">
        <v>21</v>
      </c>
      <c r="D109" s="7"/>
      <c r="E109" s="7" t="s">
        <v>417</v>
      </c>
      <c r="F109" s="7" t="s">
        <v>19</v>
      </c>
      <c r="G109" s="7" t="b">
        <v>1</v>
      </c>
      <c r="H109" s="7" t="s">
        <v>21</v>
      </c>
      <c r="I109" s="7" t="s">
        <v>21</v>
      </c>
      <c r="J109" s="7" t="s">
        <v>418</v>
      </c>
    </row>
    <row r="110" spans="1:10" x14ac:dyDescent="0.25" outlineLevel="1" collapsed="1">
      <c r="A110" s="7" t="s">
        <v>15</v>
      </c>
      <c r="B110" s="7" t="s">
        <v>148</v>
      </c>
      <c r="C110" s="7" t="s">
        <v>21</v>
      </c>
      <c r="D110" s="7"/>
      <c r="E110" s="7" t="s">
        <v>419</v>
      </c>
      <c r="F110" s="7" t="s">
        <v>19</v>
      </c>
      <c r="G110" s="7" t="s">
        <v>41</v>
      </c>
      <c r="H110" s="7" t="s">
        <v>21</v>
      </c>
      <c r="I110" s="7" t="s">
        <v>21</v>
      </c>
      <c r="J110" s="7" t="s">
        <v>420</v>
      </c>
    </row>
    <row r="111" spans="1:10" x14ac:dyDescent="0.25" outlineLevel="1" collapsed="1">
      <c r="A111" s="7" t="s">
        <v>15</v>
      </c>
      <c r="B111" s="7" t="s">
        <v>148</v>
      </c>
      <c r="C111" s="7" t="s">
        <v>21</v>
      </c>
      <c r="D111" s="7"/>
      <c r="E111" s="7" t="s">
        <v>421</v>
      </c>
      <c r="F111" s="7" t="s">
        <v>19</v>
      </c>
      <c r="G111" s="7" t="s">
        <v>41</v>
      </c>
      <c r="H111" s="7" t="s">
        <v>21</v>
      </c>
      <c r="I111" s="7" t="s">
        <v>21</v>
      </c>
      <c r="J111" s="7" t="s">
        <v>422</v>
      </c>
    </row>
    <row r="112" spans="1:10" x14ac:dyDescent="0.25" outlineLevel="1" collapsed="1">
      <c r="A112" s="7" t="s">
        <v>15</v>
      </c>
      <c r="B112" s="7" t="s">
        <v>56</v>
      </c>
      <c r="C112" s="7" t="s">
        <v>21</v>
      </c>
      <c r="D112" s="7"/>
      <c r="E112" s="7" t="s">
        <v>423</v>
      </c>
      <c r="F112" s="7" t="s">
        <v>19</v>
      </c>
      <c r="G112" s="7" t="s">
        <v>424</v>
      </c>
      <c r="H112" s="7" t="s">
        <v>21</v>
      </c>
      <c r="I112" s="7" t="s">
        <v>21</v>
      </c>
      <c r="J112" s="7" t="s">
        <v>425</v>
      </c>
    </row>
    <row r="113" spans="1:10" x14ac:dyDescent="0.25" outlineLevel="1" collapsed="1">
      <c r="A113" s="9" t="s">
        <v>15</v>
      </c>
      <c r="B113" s="10" t="s">
        <v>426</v>
      </c>
      <c r="C113" s="9" t="s">
        <v>21</v>
      </c>
      <c r="D113" s="9"/>
      <c r="E113" s="9" t="s">
        <v>426</v>
      </c>
      <c r="F113" s="9" t="s">
        <v>19</v>
      </c>
      <c r="G113" s="9" t="s">
        <v>21</v>
      </c>
      <c r="H113" s="9" t="s">
        <v>21</v>
      </c>
      <c r="I113" s="9" t="s">
        <v>21</v>
      </c>
      <c r="J113" s="9" t="s">
        <v>198</v>
      </c>
    </row>
    <row r="114" spans="1:10" x14ac:dyDescent="0.25" outlineLevel="2" collapsed="1">
      <c r="A114" s="7" t="s">
        <v>15</v>
      </c>
      <c r="B114" s="7" t="s">
        <v>148</v>
      </c>
      <c r="C114" s="7" t="s">
        <v>21</v>
      </c>
      <c r="D114" s="7"/>
      <c r="E114" s="7" t="s">
        <v>427</v>
      </c>
      <c r="F114" s="7" t="s">
        <v>19</v>
      </c>
      <c r="G114" s="7" t="s">
        <v>41</v>
      </c>
      <c r="H114" s="7" t="s">
        <v>21</v>
      </c>
      <c r="I114" s="7" t="s">
        <v>21</v>
      </c>
      <c r="J114" s="7" t="s">
        <v>428</v>
      </c>
    </row>
    <row r="115" spans="1:10" x14ac:dyDescent="0.25" outlineLevel="2" collapsed="1">
      <c r="A115" s="7" t="s">
        <v>15</v>
      </c>
      <c r="B115" s="7" t="s">
        <v>148</v>
      </c>
      <c r="C115" s="7" t="s">
        <v>21</v>
      </c>
      <c r="D115" s="7"/>
      <c r="E115" s="7" t="s">
        <v>429</v>
      </c>
      <c r="F115" s="7" t="s">
        <v>19</v>
      </c>
      <c r="G115" s="7" t="s">
        <v>41</v>
      </c>
      <c r="H115" s="7" t="s">
        <v>21</v>
      </c>
      <c r="I115" s="7" t="s">
        <v>21</v>
      </c>
      <c r="J115" s="7" t="s">
        <v>325</v>
      </c>
    </row>
    <row r="116" spans="1:10" x14ac:dyDescent="0.25" outlineLevel="2" collapsed="1">
      <c r="A116" s="7" t="s">
        <v>15</v>
      </c>
      <c r="B116" s="7" t="s">
        <v>148</v>
      </c>
      <c r="C116" s="7" t="s">
        <v>21</v>
      </c>
      <c r="D116" s="7"/>
      <c r="E116" s="7" t="s">
        <v>430</v>
      </c>
      <c r="F116" s="7" t="s">
        <v>19</v>
      </c>
      <c r="G116" s="7" t="s">
        <v>41</v>
      </c>
      <c r="H116" s="7" t="s">
        <v>21</v>
      </c>
      <c r="I116" s="7" t="s">
        <v>21</v>
      </c>
      <c r="J116" s="7" t="s">
        <v>431</v>
      </c>
    </row>
    <row r="117" spans="1:10" x14ac:dyDescent="0.25" outlineLevel="2" collapsed="1">
      <c r="A117" s="7" t="s">
        <v>15</v>
      </c>
      <c r="B117" s="7" t="s">
        <v>56</v>
      </c>
      <c r="C117" s="7" t="s">
        <v>21</v>
      </c>
      <c r="D117" s="7"/>
      <c r="E117" s="7" t="s">
        <v>432</v>
      </c>
      <c r="F117" s="7" t="s">
        <v>19</v>
      </c>
      <c r="G117" s="7" t="s">
        <v>433</v>
      </c>
      <c r="H117" s="7" t="s">
        <v>21</v>
      </c>
      <c r="I117" s="7" t="s">
        <v>21</v>
      </c>
      <c r="J117" s="7" t="s">
        <v>434</v>
      </c>
    </row>
    <row r="118" spans="1:10" x14ac:dyDescent="0.25" outlineLevel="2" collapsed="1">
      <c r="A118" s="7" t="s">
        <v>15</v>
      </c>
      <c r="B118" s="7" t="s">
        <v>148</v>
      </c>
      <c r="C118" s="7" t="s">
        <v>21</v>
      </c>
      <c r="D118" s="7"/>
      <c r="E118" s="7" t="s">
        <v>435</v>
      </c>
      <c r="F118" s="7" t="s">
        <v>19</v>
      </c>
      <c r="G118" s="7" t="s">
        <v>41</v>
      </c>
      <c r="H118" s="7" t="s">
        <v>21</v>
      </c>
      <c r="I118" s="7" t="s">
        <v>21</v>
      </c>
      <c r="J118" s="7" t="s">
        <v>436</v>
      </c>
    </row>
    <row r="119" spans="1:10" x14ac:dyDescent="0.25" outlineLevel="1" collapsed="1">
      <c r="A119" s="9" t="s">
        <v>15</v>
      </c>
      <c r="B119" s="10" t="s">
        <v>437</v>
      </c>
      <c r="C119" s="9" t="s">
        <v>21</v>
      </c>
      <c r="D119" s="9"/>
      <c r="E119" s="9" t="s">
        <v>438</v>
      </c>
      <c r="F119" s="9" t="s">
        <v>19</v>
      </c>
      <c r="G119" s="9" t="s">
        <v>21</v>
      </c>
      <c r="H119" s="9" t="s">
        <v>21</v>
      </c>
      <c r="I119" s="9" t="s">
        <v>21</v>
      </c>
      <c r="J119" s="9" t="s">
        <v>294</v>
      </c>
    </row>
    <row r="120" spans="1:10" x14ac:dyDescent="0.25" outlineLevel="2" collapsed="1">
      <c r="A120" s="7" t="s">
        <v>15</v>
      </c>
      <c r="B120" s="7" t="s">
        <v>27</v>
      </c>
      <c r="C120" s="8" t="s">
        <v>439</v>
      </c>
      <c r="D120" s="7"/>
      <c r="E120" s="7" t="s">
        <v>440</v>
      </c>
      <c r="F120" s="7" t="s">
        <v>19</v>
      </c>
      <c r="G120" s="7" t="s">
        <v>441</v>
      </c>
      <c r="H120" s="7" t="s">
        <v>21</v>
      </c>
      <c r="I120" s="7" t="s">
        <v>21</v>
      </c>
      <c r="J120" s="7" t="s">
        <v>442</v>
      </c>
    </row>
    <row r="121" spans="1:10" x14ac:dyDescent="0.25" outlineLevel="2" collapsed="1">
      <c r="A121" s="7" t="s">
        <v>15</v>
      </c>
      <c r="B121" s="7" t="s">
        <v>148</v>
      </c>
      <c r="C121" s="7" t="s">
        <v>21</v>
      </c>
      <c r="D121" s="7"/>
      <c r="E121" s="7" t="s">
        <v>443</v>
      </c>
      <c r="F121" s="7" t="s">
        <v>19</v>
      </c>
      <c r="G121" s="7" t="s">
        <v>41</v>
      </c>
      <c r="H121" s="7" t="s">
        <v>21</v>
      </c>
      <c r="I121" s="7" t="s">
        <v>21</v>
      </c>
      <c r="J121" s="7" t="s">
        <v>444</v>
      </c>
    </row>
    <row r="122" spans="1:10" x14ac:dyDescent="0.25" outlineLevel="2" collapsed="1">
      <c r="A122" s="7" t="s">
        <v>15</v>
      </c>
      <c r="B122" s="7" t="s">
        <v>148</v>
      </c>
      <c r="C122" s="7" t="s">
        <v>21</v>
      </c>
      <c r="D122" s="7"/>
      <c r="E122" s="7" t="s">
        <v>445</v>
      </c>
      <c r="F122" s="7" t="s">
        <v>19</v>
      </c>
      <c r="G122" s="7" t="s">
        <v>41</v>
      </c>
      <c r="H122" s="7" t="s">
        <v>21</v>
      </c>
      <c r="I122" s="7" t="s">
        <v>21</v>
      </c>
      <c r="J122" s="7" t="s">
        <v>446</v>
      </c>
    </row>
    <row r="123" spans="1:10" x14ac:dyDescent="0.25" outlineLevel="2" collapsed="1">
      <c r="A123" s="7" t="s">
        <v>15</v>
      </c>
      <c r="B123" s="7" t="s">
        <v>148</v>
      </c>
      <c r="C123" s="7" t="s">
        <v>21</v>
      </c>
      <c r="D123" s="7"/>
      <c r="E123" s="7" t="s">
        <v>447</v>
      </c>
      <c r="F123" s="7" t="s">
        <v>19</v>
      </c>
      <c r="G123" s="7" t="s">
        <v>41</v>
      </c>
      <c r="H123" s="7" t="s">
        <v>21</v>
      </c>
      <c r="I123" s="7" t="s">
        <v>21</v>
      </c>
      <c r="J123" s="7" t="s">
        <v>448</v>
      </c>
    </row>
    <row r="124" spans="1:10" x14ac:dyDescent="0.25" outlineLevel="2" collapsed="1">
      <c r="A124" s="7" t="s">
        <v>15</v>
      </c>
      <c r="B124" s="7" t="s">
        <v>148</v>
      </c>
      <c r="C124" s="7" t="s">
        <v>21</v>
      </c>
      <c r="D124" s="7"/>
      <c r="E124" s="7" t="s">
        <v>449</v>
      </c>
      <c r="F124" s="7" t="s">
        <v>19</v>
      </c>
      <c r="G124" s="7" t="s">
        <v>41</v>
      </c>
      <c r="H124" s="7" t="s">
        <v>21</v>
      </c>
      <c r="I124" s="7" t="s">
        <v>21</v>
      </c>
      <c r="J124" s="7" t="s">
        <v>450</v>
      </c>
    </row>
    <row r="125" spans="1:10" x14ac:dyDescent="0.25" outlineLevel="2" collapsed="1">
      <c r="A125" s="7" t="s">
        <v>15</v>
      </c>
      <c r="B125" s="7" t="s">
        <v>56</v>
      </c>
      <c r="C125" s="7" t="s">
        <v>21</v>
      </c>
      <c r="D125" s="7"/>
      <c r="E125" s="7" t="s">
        <v>451</v>
      </c>
      <c r="F125" s="7" t="s">
        <v>19</v>
      </c>
      <c r="G125" s="7" t="s">
        <v>452</v>
      </c>
      <c r="H125" s="7" t="s">
        <v>21</v>
      </c>
      <c r="I125" s="7" t="s">
        <v>21</v>
      </c>
      <c r="J125" s="7" t="s">
        <v>453</v>
      </c>
    </row>
    <row r="126" spans="1:10" x14ac:dyDescent="0.25">
      <c r="A126" s="5" t="s">
        <v>15</v>
      </c>
      <c r="B126" s="6" t="s">
        <v>454</v>
      </c>
      <c r="C126" s="5" t="s">
        <v>21</v>
      </c>
      <c r="D126" s="5"/>
      <c r="E126" s="5" t="s">
        <v>455</v>
      </c>
      <c r="F126" s="5" t="s">
        <v>19</v>
      </c>
      <c r="G126" s="5" t="s">
        <v>456</v>
      </c>
      <c r="H126" s="5" t="s">
        <v>21</v>
      </c>
      <c r="I126" s="5" t="s">
        <v>21</v>
      </c>
      <c r="J126" s="5" t="s">
        <v>457</v>
      </c>
    </row>
    <row r="127" spans="1:10" x14ac:dyDescent="0.25" outlineLevel="1" collapsed="1">
      <c r="A127" s="7" t="s">
        <v>15</v>
      </c>
      <c r="B127" s="7" t="s">
        <v>148</v>
      </c>
      <c r="C127" s="7" t="s">
        <v>21</v>
      </c>
      <c r="D127" s="7"/>
      <c r="E127" s="7" t="s">
        <v>458</v>
      </c>
      <c r="F127" s="7" t="s">
        <v>19</v>
      </c>
      <c r="G127" s="7" t="s">
        <v>41</v>
      </c>
      <c r="H127" s="7" t="s">
        <v>21</v>
      </c>
      <c r="I127" s="7" t="s">
        <v>21</v>
      </c>
      <c r="J127" s="7" t="s">
        <v>459</v>
      </c>
    </row>
    <row r="128" spans="1:10" x14ac:dyDescent="0.25" outlineLevel="1" collapsed="1">
      <c r="A128" s="7" t="s">
        <v>15</v>
      </c>
      <c r="B128" s="7" t="s">
        <v>148</v>
      </c>
      <c r="C128" s="7" t="s">
        <v>21</v>
      </c>
      <c r="D128" s="7"/>
      <c r="E128" s="7" t="s">
        <v>460</v>
      </c>
      <c r="F128" s="7" t="s">
        <v>19</v>
      </c>
      <c r="G128" s="7" t="s">
        <v>41</v>
      </c>
      <c r="H128" s="7" t="s">
        <v>21</v>
      </c>
      <c r="I128" s="7" t="s">
        <v>21</v>
      </c>
      <c r="J128" s="7" t="s">
        <v>461</v>
      </c>
    </row>
    <row r="129" spans="1:10" x14ac:dyDescent="0.25" outlineLevel="1" collapsed="1">
      <c r="A129" s="7" t="s">
        <v>15</v>
      </c>
      <c r="B129" s="7" t="s">
        <v>148</v>
      </c>
      <c r="C129" s="7" t="s">
        <v>21</v>
      </c>
      <c r="D129" s="7"/>
      <c r="E129" s="7" t="s">
        <v>462</v>
      </c>
      <c r="F129" s="7" t="s">
        <v>19</v>
      </c>
      <c r="G129" s="7" t="s">
        <v>41</v>
      </c>
      <c r="H129" s="7" t="s">
        <v>21</v>
      </c>
      <c r="I129" s="7" t="s">
        <v>21</v>
      </c>
      <c r="J129" s="7" t="s">
        <v>463</v>
      </c>
    </row>
    <row r="130" spans="1:10" x14ac:dyDescent="0.25" outlineLevel="1" collapsed="1">
      <c r="A130" s="7" t="s">
        <v>15</v>
      </c>
      <c r="B130" s="7" t="s">
        <v>148</v>
      </c>
      <c r="C130" s="7" t="s">
        <v>21</v>
      </c>
      <c r="D130" s="7"/>
      <c r="E130" s="7" t="s">
        <v>464</v>
      </c>
      <c r="F130" s="7" t="s">
        <v>19</v>
      </c>
      <c r="G130" s="7" t="s">
        <v>41</v>
      </c>
      <c r="H130" s="7" t="s">
        <v>21</v>
      </c>
      <c r="I130" s="7" t="s">
        <v>21</v>
      </c>
      <c r="J130" s="7" t="s">
        <v>465</v>
      </c>
    </row>
    <row r="131" spans="1:10" x14ac:dyDescent="0.25" outlineLevel="1" collapsed="1">
      <c r="A131" s="7" t="s">
        <v>15</v>
      </c>
      <c r="B131" s="7" t="s">
        <v>148</v>
      </c>
      <c r="C131" s="7" t="s">
        <v>21</v>
      </c>
      <c r="D131" s="7"/>
      <c r="E131" s="7" t="s">
        <v>466</v>
      </c>
      <c r="F131" s="7" t="s">
        <v>19</v>
      </c>
      <c r="G131" s="7" t="s">
        <v>41</v>
      </c>
      <c r="H131" s="7" t="s">
        <v>21</v>
      </c>
      <c r="I131" s="7" t="s">
        <v>21</v>
      </c>
      <c r="J131" s="7" t="s">
        <v>467</v>
      </c>
    </row>
    <row r="132" spans="1:10" x14ac:dyDescent="0.25" outlineLevel="1" collapsed="1">
      <c r="A132" s="7" t="s">
        <v>19</v>
      </c>
      <c r="B132" s="7" t="s">
        <v>56</v>
      </c>
      <c r="C132" s="7" t="s">
        <v>21</v>
      </c>
      <c r="D132" s="7"/>
      <c r="E132" s="7" t="s">
        <v>468</v>
      </c>
      <c r="F132" s="7" t="s">
        <v>19</v>
      </c>
      <c r="G132" s="7" t="s">
        <v>469</v>
      </c>
      <c r="H132" s="7" t="s">
        <v>21</v>
      </c>
      <c r="I132" s="7" t="s">
        <v>21</v>
      </c>
      <c r="J132" s="7" t="s">
        <v>470</v>
      </c>
    </row>
    <row r="133" spans="1:10" x14ac:dyDescent="0.25">
      <c r="A133" s="5" t="s">
        <v>15</v>
      </c>
      <c r="B133" s="6" t="s">
        <v>471</v>
      </c>
      <c r="C133" s="5" t="s">
        <v>21</v>
      </c>
      <c r="D133" s="5"/>
      <c r="E133" s="5" t="s">
        <v>471</v>
      </c>
      <c r="F133" s="5" t="s">
        <v>19</v>
      </c>
      <c r="G133" s="5" t="s">
        <v>472</v>
      </c>
      <c r="H133" s="5" t="s">
        <v>21</v>
      </c>
      <c r="I133" s="5" t="s">
        <v>21</v>
      </c>
      <c r="J133" s="5" t="s">
        <v>473</v>
      </c>
    </row>
    <row r="134" spans="1:10" x14ac:dyDescent="0.25" outlineLevel="1" collapsed="1">
      <c r="A134" s="7" t="s">
        <v>15</v>
      </c>
      <c r="B134" s="7" t="s">
        <v>148</v>
      </c>
      <c r="C134" s="7" t="s">
        <v>21</v>
      </c>
      <c r="D134" s="7"/>
      <c r="E134" s="7" t="s">
        <v>474</v>
      </c>
      <c r="F134" s="7" t="s">
        <v>19</v>
      </c>
      <c r="G134" s="7" t="s">
        <v>41</v>
      </c>
      <c r="H134" s="7" t="s">
        <v>21</v>
      </c>
      <c r="I134" s="7" t="s">
        <v>21</v>
      </c>
      <c r="J134" s="7" t="s">
        <v>475</v>
      </c>
    </row>
    <row r="135" spans="1:10" x14ac:dyDescent="0.25" outlineLevel="1" collapsed="1">
      <c r="A135" s="7" t="s">
        <v>15</v>
      </c>
      <c r="B135" s="7" t="s">
        <v>148</v>
      </c>
      <c r="C135" s="7" t="s">
        <v>21</v>
      </c>
      <c r="D135" s="7"/>
      <c r="E135" s="7" t="s">
        <v>476</v>
      </c>
      <c r="F135" s="7" t="s">
        <v>19</v>
      </c>
      <c r="G135" s="7" t="s">
        <v>41</v>
      </c>
      <c r="H135" s="7" t="s">
        <v>21</v>
      </c>
      <c r="I135" s="7" t="s">
        <v>21</v>
      </c>
      <c r="J135" s="7" t="s">
        <v>477</v>
      </c>
    </row>
    <row r="136" spans="1:10" x14ac:dyDescent="0.25" outlineLevel="1" collapsed="1">
      <c r="A136" s="7" t="s">
        <v>15</v>
      </c>
      <c r="B136" s="7" t="s">
        <v>148</v>
      </c>
      <c r="C136" s="7" t="s">
        <v>21</v>
      </c>
      <c r="D136" s="7"/>
      <c r="E136" s="7" t="s">
        <v>478</v>
      </c>
      <c r="F136" s="7" t="s">
        <v>19</v>
      </c>
      <c r="G136" s="7" t="s">
        <v>41</v>
      </c>
      <c r="H136" s="7" t="s">
        <v>21</v>
      </c>
      <c r="I136" s="7" t="s">
        <v>21</v>
      </c>
      <c r="J136" s="7" t="s">
        <v>479</v>
      </c>
    </row>
    <row r="137" spans="1:10" x14ac:dyDescent="0.25" outlineLevel="1" collapsed="1">
      <c r="A137" s="7" t="s">
        <v>15</v>
      </c>
      <c r="B137" s="7" t="s">
        <v>148</v>
      </c>
      <c r="C137" s="7" t="s">
        <v>21</v>
      </c>
      <c r="D137" s="7"/>
      <c r="E137" s="7" t="s">
        <v>480</v>
      </c>
      <c r="F137" s="7" t="s">
        <v>19</v>
      </c>
      <c r="G137" s="7" t="s">
        <v>41</v>
      </c>
      <c r="H137" s="7" t="s">
        <v>21</v>
      </c>
      <c r="I137" s="7" t="s">
        <v>21</v>
      </c>
      <c r="J137" s="7" t="s">
        <v>481</v>
      </c>
    </row>
    <row r="138" spans="1:10" x14ac:dyDescent="0.25" outlineLevel="1" collapsed="1">
      <c r="A138" s="7" t="s">
        <v>15</v>
      </c>
      <c r="B138" s="7" t="s">
        <v>148</v>
      </c>
      <c r="C138" s="7" t="s">
        <v>21</v>
      </c>
      <c r="D138" s="7"/>
      <c r="E138" s="7" t="s">
        <v>482</v>
      </c>
      <c r="F138" s="7" t="s">
        <v>19</v>
      </c>
      <c r="G138" s="7" t="s">
        <v>41</v>
      </c>
      <c r="H138" s="7" t="s">
        <v>21</v>
      </c>
      <c r="I138" s="7" t="s">
        <v>21</v>
      </c>
      <c r="J138" s="7" t="s">
        <v>483</v>
      </c>
    </row>
    <row r="139" spans="1:10" x14ac:dyDescent="0.25" outlineLevel="1" collapsed="1">
      <c r="A139" s="7" t="s">
        <v>15</v>
      </c>
      <c r="B139" s="7" t="s">
        <v>148</v>
      </c>
      <c r="C139" s="7" t="s">
        <v>21</v>
      </c>
      <c r="D139" s="7"/>
      <c r="E139" s="7" t="s">
        <v>484</v>
      </c>
      <c r="F139" s="7" t="s">
        <v>19</v>
      </c>
      <c r="G139" s="7" t="s">
        <v>41</v>
      </c>
      <c r="H139" s="7" t="s">
        <v>21</v>
      </c>
      <c r="I139" s="7" t="s">
        <v>21</v>
      </c>
      <c r="J139" s="7" t="s">
        <v>485</v>
      </c>
    </row>
    <row r="140" spans="1:10" x14ac:dyDescent="0.25" outlineLevel="1" collapsed="1">
      <c r="A140" s="7" t="s">
        <v>15</v>
      </c>
      <c r="B140" s="7" t="s">
        <v>148</v>
      </c>
      <c r="C140" s="7" t="s">
        <v>21</v>
      </c>
      <c r="D140" s="7"/>
      <c r="E140" s="7" t="s">
        <v>486</v>
      </c>
      <c r="F140" s="7" t="s">
        <v>19</v>
      </c>
      <c r="G140" s="7" t="s">
        <v>41</v>
      </c>
      <c r="H140" s="7" t="s">
        <v>21</v>
      </c>
      <c r="I140" s="7" t="s">
        <v>21</v>
      </c>
      <c r="J140" s="7" t="s">
        <v>487</v>
      </c>
    </row>
    <row r="141" spans="1:10" x14ac:dyDescent="0.25" outlineLevel="1" collapsed="1">
      <c r="A141" s="7" t="s">
        <v>15</v>
      </c>
      <c r="B141" s="7" t="s">
        <v>148</v>
      </c>
      <c r="C141" s="7" t="s">
        <v>21</v>
      </c>
      <c r="D141" s="7"/>
      <c r="E141" s="7" t="s">
        <v>488</v>
      </c>
      <c r="F141" s="7" t="s">
        <v>19</v>
      </c>
      <c r="G141" s="7" t="s">
        <v>41</v>
      </c>
      <c r="H141" s="7" t="s">
        <v>21</v>
      </c>
      <c r="I141" s="7" t="s">
        <v>21</v>
      </c>
      <c r="J141" s="7" t="s">
        <v>489</v>
      </c>
    </row>
    <row r="142" spans="1:10" x14ac:dyDescent="0.25" outlineLevel="1" collapsed="1">
      <c r="A142" s="7" t="s">
        <v>15</v>
      </c>
      <c r="B142" s="7" t="s">
        <v>56</v>
      </c>
      <c r="C142" s="7" t="s">
        <v>21</v>
      </c>
      <c r="D142" s="7"/>
      <c r="E142" s="7" t="s">
        <v>490</v>
      </c>
      <c r="F142" s="7" t="s">
        <v>19</v>
      </c>
      <c r="G142" s="7" t="s">
        <v>491</v>
      </c>
      <c r="H142" s="7" t="s">
        <v>21</v>
      </c>
      <c r="I142" s="7" t="s">
        <v>21</v>
      </c>
      <c r="J142" s="7" t="s">
        <v>492</v>
      </c>
    </row>
    <row r="143" spans="1:10" x14ac:dyDescent="0.25" outlineLevel="1" collapsed="1">
      <c r="A143" s="7" t="s">
        <v>15</v>
      </c>
      <c r="B143" s="7" t="s">
        <v>56</v>
      </c>
      <c r="C143" s="7" t="s">
        <v>21</v>
      </c>
      <c r="D143" s="7"/>
      <c r="E143" s="7" t="s">
        <v>493</v>
      </c>
      <c r="F143" s="7" t="s">
        <v>19</v>
      </c>
      <c r="G143" s="7" t="s">
        <v>494</v>
      </c>
      <c r="H143" s="7" t="s">
        <v>21</v>
      </c>
      <c r="I143" s="7" t="s">
        <v>21</v>
      </c>
      <c r="J143" s="7" t="s">
        <v>495</v>
      </c>
    </row>
  </sheetData>
  <mergeCells count="3">
    <mergeCell ref="A1:J1"/>
    <mergeCell ref="B2:J2"/>
    <mergeCell ref="B3:J3"/>
  </mergeCells>
  <dataValidations count="11">
    <dataValidation type="list" allowBlank="1" sqref="G104:I104">
      <formula1>'Type of crediting Perio (enum)'!A4:A5</formula1>
    </dataValidation>
    <dataValidation type="list" allowBlank="1" sqref="G12:I12">
      <formula1>'Project Status (enum)'!A4:A6</formula1>
    </dataValidation>
    <dataValidation type="list" allowBlank="1" sqref="G120:I120">
      <formula1>'Campaign type (enum)'!A4:A7</formula1>
    </dataValidation>
    <dataValidation type="list" allowBlank="1" sqref="G14:I14">
      <formula1>'The scale of the projec (enum)'!A4:A6</formula1>
    </dataValidation>
    <dataValidation type="list" allowBlank="1" sqref="G17:I17">
      <formula1>'Country 2 (enum)'!A4:A256</formula1>
    </dataValidation>
    <dataValidation type="list" allowBlank="1" sqref="G21:I21">
      <formula1>'UrbanRural Classificati (enum)'!A4:A5</formula1>
    </dataValidation>
    <dataValidation type="list" allowBlank="1" sqref="G36:I36">
      <formula1>'Treatment Technology 3 (enum)'!A4:A5</formula1>
    </dataValidation>
    <dataValidation type="list" allowBlank="1" sqref="G38:I38">
      <formula1>'Treatment Technology 2 (enum)'!A4:A9</formula1>
    </dataValidation>
    <dataValidation type="list" allowBlank="1" sqref="G50:I50">
      <formula1>'Treatment Technology Su (enum)'!A4:A9</formula1>
    </dataValidation>
    <dataValidation type="list" allowBlank="1" sqref="G86:I86">
      <formula1>'Water source classifica (enum)'!A4:A5</formula1>
    </dataValidation>
    <dataValidation type="list" allowBlank="1" sqref="G90:I90">
      <formula1>'Baseline treatment meth (enum)'!A4:A6</formula1>
    </dataValidation>
  </dataValidations>
  <hyperlinks>
    <hyperlink ref="B5" r:id="rId1" location="#'Basic Information'!A1"/>
    <hyperlink ref="B8" r:id="rId2" location="#'Project Details'!A1"/>
    <hyperlink ref="C12" r:id="rId3" location="#'Project Status (enum)'!A3"/>
    <hyperlink ref="C14" r:id="rId4" location="#'The scale of the projec (enum)'!A3"/>
    <hyperlink ref="B15" r:id="rId5" location="#'Project Location Details'!A1"/>
    <hyperlink ref="B16" r:id="rId6" location="#'Country'!A1"/>
    <hyperlink ref="C17" r:id="rId7" location="#'Country 2 (enum)'!A3"/>
    <hyperlink ref="C21" r:id="rId8" location="#'UrbanRural Classificati (enum)'!A3"/>
    <hyperlink ref="B25" r:id="rId9" location="#'Project Developer Details'!A1"/>
    <hyperlink ref="B34" r:id="rId10" location="#'Water Treatment Technology - P'!A1"/>
    <hyperlink ref="B35" r:id="rId11" location="#'Water Treatment Technology  2'!A1"/>
    <hyperlink ref="C36" r:id="rId12" location="#'Treatment Technology 3 (enum)'!A3"/>
    <hyperlink ref="B37" r:id="rId13" location="#'Treatment Technology Sub-ty 2'!A1"/>
    <hyperlink ref="C38" r:id="rId14" location="#'Treatment Technology 2 (enum)'!A3"/>
    <hyperlink ref="B49" r:id="rId15" location="#'Treatment Technology Sub-type'!A1"/>
    <hyperlink ref="C50" r:id="rId16" location="#'Treatment Technology Su (enum)'!A3"/>
    <hyperlink ref="B64" r:id="rId17" location="#'If the Project Installation is'!A1"/>
    <hyperlink ref="B71" r:id="rId18" location="#'Maintenance Plan for CWTCWS'!A1"/>
    <hyperlink ref="B78" r:id="rId19" location="#'Replacement Strategy Details'!A1"/>
    <hyperlink ref="B83" r:id="rId20" location="#'Methodologies and Standardized'!A1"/>
    <hyperlink ref="B84" r:id="rId21" location="#'Water Source Baseline Details'!A1"/>
    <hyperlink ref="C86" r:id="rId22" location="#'Water source classifica (enum)'!A3"/>
    <hyperlink ref="C90" r:id="rId23" location="#'Baseline treatment meth (enum)'!A3"/>
    <hyperlink ref="B93" r:id="rId24" location="#'Estimated Baseline Calculation'!A1"/>
    <hyperlink ref="B98" r:id="rId25" location="#'Project Crediting Period Detai'!A1"/>
    <hyperlink ref="B100" r:id="rId26" location="#'Project Crediting Period'!A1"/>
    <hyperlink ref="C104" r:id="rId27" location="#'Type of crediting Perio (enum)'!A3"/>
    <hyperlink ref="B105" r:id="rId28" location="#'Project Boundary and Additiona'!A1"/>
    <hyperlink ref="B113" r:id="rId29" location="#'Maintenance and Operation Plan'!A1"/>
    <hyperlink ref="B119" r:id="rId30" location="#'Hygiene Awareness Campaign'!A1"/>
    <hyperlink ref="C120" r:id="rId31" location="#'Campaign type (enum)'!A3"/>
    <hyperlink ref="B126" r:id="rId32" location="#'Host Country Regulatory Framew'!A1"/>
    <hyperlink ref="B133" r:id="rId33" location="#'Monitoring Plan Summary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99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39</v>
      </c>
      <c r="D5" s="5"/>
      <c r="E5" s="5" t="s">
        <v>102</v>
      </c>
      <c r="F5" s="5" t="s">
        <v>19</v>
      </c>
      <c r="G5" s="5" t="s">
        <v>497</v>
      </c>
      <c r="H5" s="5" t="s">
        <v>21</v>
      </c>
      <c r="I5" s="5" t="s">
        <v>21</v>
      </c>
      <c r="J5" s="5" t="s">
        <v>104</v>
      </c>
    </row>
    <row r="6" spans="1:10" x14ac:dyDescent="0.25">
      <c r="A6" s="5" t="s">
        <v>15</v>
      </c>
      <c r="B6" s="5" t="s">
        <v>16</v>
      </c>
      <c r="C6" s="5" t="s">
        <v>39</v>
      </c>
      <c r="D6" s="5"/>
      <c r="E6" s="5" t="s">
        <v>105</v>
      </c>
      <c r="F6" s="5" t="s">
        <v>19</v>
      </c>
      <c r="G6" s="5" t="s">
        <v>498</v>
      </c>
      <c r="H6" s="5" t="s">
        <v>21</v>
      </c>
      <c r="I6" s="5" t="s">
        <v>21</v>
      </c>
      <c r="J6" s="5" t="s">
        <v>107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27</v>
      </c>
      <c r="C5" s="6" t="s">
        <v>28</v>
      </c>
      <c r="D5" s="5"/>
      <c r="E5" s="5" t="s">
        <v>23</v>
      </c>
      <c r="F5" s="5" t="s">
        <v>19</v>
      </c>
      <c r="G5" s="5" t="s">
        <v>29</v>
      </c>
      <c r="H5" s="5" t="s">
        <v>21</v>
      </c>
      <c r="I5" s="5" t="s">
        <v>21</v>
      </c>
      <c r="J5" s="5" t="s">
        <v>30</v>
      </c>
    </row>
  </sheetData>
  <mergeCells count="3">
    <mergeCell ref="A1:J1"/>
    <mergeCell ref="B2:J2"/>
    <mergeCell ref="B3:J3"/>
  </mergeCells>
  <dataValidations count="1">
    <dataValidation type="list" allowBlank="1" sqref="G5:I5">
      <formula1>'Country 2 (enum)'!A4:A256</formula1>
    </dataValidation>
  </dataValidations>
  <hyperlinks>
    <hyperlink ref="C5" r:id="rId1" location="#'Country 2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108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111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19</v>
      </c>
      <c r="B5" s="5" t="s">
        <v>56</v>
      </c>
      <c r="C5" s="5" t="s">
        <v>21</v>
      </c>
      <c r="D5" s="5"/>
      <c r="E5" s="5" t="s">
        <v>111</v>
      </c>
      <c r="F5" s="5" t="s">
        <v>15</v>
      </c>
      <c r="G5" s="5" t="s">
        <v>499</v>
      </c>
      <c r="H5" s="5" t="s">
        <v>21</v>
      </c>
      <c r="I5" s="5" t="s">
        <v>21</v>
      </c>
      <c r="J5" s="5" t="s">
        <v>113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193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196</v>
      </c>
      <c r="C5" s="5" t="s">
        <v>21</v>
      </c>
      <c r="D5" s="5"/>
      <c r="E5" s="5" t="s">
        <v>197</v>
      </c>
      <c r="F5" s="5" t="s">
        <v>19</v>
      </c>
      <c r="G5" s="5" t="s">
        <v>21</v>
      </c>
      <c r="H5" s="5" t="s">
        <v>21</v>
      </c>
      <c r="I5" s="5" t="s">
        <v>21</v>
      </c>
      <c r="J5" s="5" t="s">
        <v>198</v>
      </c>
    </row>
    <row r="6" spans="1:10" x14ac:dyDescent="0.25" outlineLevel="1" collapsed="1">
      <c r="A6" s="7" t="s">
        <v>15</v>
      </c>
      <c r="B6" s="7" t="s">
        <v>27</v>
      </c>
      <c r="C6" s="8" t="s">
        <v>199</v>
      </c>
      <c r="D6" s="7"/>
      <c r="E6" s="7" t="s">
        <v>200</v>
      </c>
      <c r="F6" s="7" t="s">
        <v>19</v>
      </c>
      <c r="G6" s="7" t="s">
        <v>201</v>
      </c>
      <c r="H6" s="7" t="s">
        <v>21</v>
      </c>
      <c r="I6" s="7" t="s">
        <v>21</v>
      </c>
      <c r="J6" s="7" t="s">
        <v>202</v>
      </c>
    </row>
    <row r="7" spans="1:10" x14ac:dyDescent="0.25" outlineLevel="1" collapsed="1">
      <c r="A7" s="9" t="s">
        <v>19</v>
      </c>
      <c r="B7" s="10" t="s">
        <v>203</v>
      </c>
      <c r="C7" s="9" t="s">
        <v>21</v>
      </c>
      <c r="D7" s="9">
        <f>EXACT(G6,"HWT, IWT")</f>
      </c>
      <c r="E7" s="9" t="s">
        <v>204</v>
      </c>
      <c r="F7" s="9" t="s">
        <v>19</v>
      </c>
      <c r="G7" s="9" t="s">
        <v>21</v>
      </c>
      <c r="H7" s="9" t="s">
        <v>21</v>
      </c>
      <c r="I7" s="9" t="s">
        <v>21</v>
      </c>
      <c r="J7" s="9" t="s">
        <v>205</v>
      </c>
    </row>
    <row r="8" spans="1:10" x14ac:dyDescent="0.25" outlineLevel="2" collapsed="1">
      <c r="A8" s="7" t="s">
        <v>15</v>
      </c>
      <c r="B8" s="7" t="s">
        <v>27</v>
      </c>
      <c r="C8" s="8" t="s">
        <v>206</v>
      </c>
      <c r="D8" s="7"/>
      <c r="E8" s="7" t="s">
        <v>204</v>
      </c>
      <c r="F8" s="7" t="s">
        <v>19</v>
      </c>
      <c r="G8" s="7" t="s">
        <v>207</v>
      </c>
      <c r="H8" s="7" t="s">
        <v>21</v>
      </c>
      <c r="I8" s="7" t="s">
        <v>21</v>
      </c>
      <c r="J8" s="7" t="s">
        <v>208</v>
      </c>
    </row>
    <row r="9" spans="1:10" x14ac:dyDescent="0.25" outlineLevel="2" collapsed="1">
      <c r="A9" s="7" t="s">
        <v>19</v>
      </c>
      <c r="B9" s="7" t="s">
        <v>148</v>
      </c>
      <c r="C9" s="7" t="s">
        <v>21</v>
      </c>
      <c r="D9" s="7">
        <f>EXACT(G8,"Other (specify)")</f>
      </c>
      <c r="E9" s="7" t="s">
        <v>209</v>
      </c>
      <c r="F9" s="7" t="s">
        <v>19</v>
      </c>
      <c r="G9" s="7" t="s">
        <v>41</v>
      </c>
      <c r="H9" s="7" t="s">
        <v>21</v>
      </c>
      <c r="I9" s="7" t="s">
        <v>21</v>
      </c>
      <c r="J9" s="7" t="s">
        <v>210</v>
      </c>
    </row>
    <row r="10" spans="1:10" x14ac:dyDescent="0.25" outlineLevel="1" collapsed="1">
      <c r="A10" s="7" t="s">
        <v>19</v>
      </c>
      <c r="B10" s="7" t="s">
        <v>148</v>
      </c>
      <c r="C10" s="7" t="s">
        <v>21</v>
      </c>
      <c r="D10" s="7">
        <f>EXACT(G6,"HWT, IWT")</f>
      </c>
      <c r="E10" s="7" t="s">
        <v>211</v>
      </c>
      <c r="F10" s="7" t="s">
        <v>19</v>
      </c>
      <c r="G10" s="7" t="s">
        <v>41</v>
      </c>
      <c r="H10" s="7" t="s">
        <v>21</v>
      </c>
      <c r="I10" s="7" t="s">
        <v>21</v>
      </c>
      <c r="J10" s="7" t="s">
        <v>212</v>
      </c>
    </row>
    <row r="11" spans="1:10" x14ac:dyDescent="0.25" outlineLevel="1" collapsed="1">
      <c r="A11" s="7" t="s">
        <v>19</v>
      </c>
      <c r="B11" s="7" t="s">
        <v>148</v>
      </c>
      <c r="C11" s="7" t="s">
        <v>21</v>
      </c>
      <c r="D11" s="7">
        <f>EXACT(G6,"HWT, IWT")</f>
      </c>
      <c r="E11" s="7" t="s">
        <v>213</v>
      </c>
      <c r="F11" s="7" t="s">
        <v>19</v>
      </c>
      <c r="G11" s="7" t="s">
        <v>41</v>
      </c>
      <c r="H11" s="7" t="s">
        <v>21</v>
      </c>
      <c r="I11" s="7" t="s">
        <v>21</v>
      </c>
      <c r="J11" s="7" t="s">
        <v>214</v>
      </c>
    </row>
    <row r="12" spans="1:10" x14ac:dyDescent="0.25" outlineLevel="1" collapsed="1">
      <c r="A12" s="7" t="s">
        <v>19</v>
      </c>
      <c r="B12" s="7" t="s">
        <v>148</v>
      </c>
      <c r="C12" s="7" t="s">
        <v>21</v>
      </c>
      <c r="D12" s="7">
        <f>EXACT(G6,"HWT, IWT")</f>
      </c>
      <c r="E12" s="7" t="s">
        <v>215</v>
      </c>
      <c r="F12" s="7" t="s">
        <v>19</v>
      </c>
      <c r="G12" s="7" t="s">
        <v>41</v>
      </c>
      <c r="H12" s="7" t="s">
        <v>21</v>
      </c>
      <c r="I12" s="7" t="s">
        <v>21</v>
      </c>
      <c r="J12" s="7" t="s">
        <v>216</v>
      </c>
    </row>
    <row r="13" spans="1:10" x14ac:dyDescent="0.25" outlineLevel="1" collapsed="1">
      <c r="A13" s="7" t="s">
        <v>19</v>
      </c>
      <c r="B13" s="7" t="s">
        <v>148</v>
      </c>
      <c r="C13" s="7" t="s">
        <v>21</v>
      </c>
      <c r="D13" s="7">
        <f>EXACT(G6,"HWT, IWT")</f>
      </c>
      <c r="E13" s="7" t="s">
        <v>217</v>
      </c>
      <c r="F13" s="7" t="s">
        <v>19</v>
      </c>
      <c r="G13" s="7" t="s">
        <v>41</v>
      </c>
      <c r="H13" s="7" t="s">
        <v>21</v>
      </c>
      <c r="I13" s="7" t="s">
        <v>21</v>
      </c>
      <c r="J13" s="7" t="s">
        <v>218</v>
      </c>
    </row>
    <row r="14" spans="1:10" x14ac:dyDescent="0.25" outlineLevel="1" collapsed="1">
      <c r="A14" s="7" t="s">
        <v>19</v>
      </c>
      <c r="B14" s="7" t="s">
        <v>167</v>
      </c>
      <c r="C14" s="7" t="s">
        <v>21</v>
      </c>
      <c r="D14" s="7">
        <f>EXACT(G6,"HWT, IWT")</f>
      </c>
      <c r="E14" s="7" t="s">
        <v>219</v>
      </c>
      <c r="F14" s="7" t="s">
        <v>19</v>
      </c>
      <c r="G14" s="7">
        <v>1</v>
      </c>
      <c r="H14" s="7" t="s">
        <v>21</v>
      </c>
      <c r="I14" s="7" t="s">
        <v>21</v>
      </c>
      <c r="J14" s="7" t="s">
        <v>220</v>
      </c>
    </row>
    <row r="15" spans="1:10" x14ac:dyDescent="0.25" outlineLevel="1" collapsed="1">
      <c r="A15" s="7" t="s">
        <v>19</v>
      </c>
      <c r="B15" s="7" t="s">
        <v>148</v>
      </c>
      <c r="C15" s="7" t="s">
        <v>21</v>
      </c>
      <c r="D15" s="7">
        <f>EXACT(G6,"HWT, IWT")</f>
      </c>
      <c r="E15" s="7" t="s">
        <v>221</v>
      </c>
      <c r="F15" s="7" t="s">
        <v>19</v>
      </c>
      <c r="G15" s="7" t="s">
        <v>41</v>
      </c>
      <c r="H15" s="7" t="s">
        <v>21</v>
      </c>
      <c r="I15" s="7" t="s">
        <v>21</v>
      </c>
      <c r="J15" s="7" t="s">
        <v>222</v>
      </c>
    </row>
    <row r="16" spans="1:10" x14ac:dyDescent="0.25" outlineLevel="1" collapsed="1">
      <c r="A16" s="7" t="s">
        <v>19</v>
      </c>
      <c r="B16" s="7" t="s">
        <v>167</v>
      </c>
      <c r="C16" s="7" t="s">
        <v>21</v>
      </c>
      <c r="D16" s="7">
        <f>EXACT(G6,"HWT, IWT")</f>
      </c>
      <c r="E16" s="7" t="s">
        <v>223</v>
      </c>
      <c r="F16" s="7" t="s">
        <v>19</v>
      </c>
      <c r="G16" s="7">
        <v>1</v>
      </c>
      <c r="H16" s="7" t="s">
        <v>21</v>
      </c>
      <c r="I16" s="7" t="s">
        <v>21</v>
      </c>
      <c r="J16" s="7" t="s">
        <v>224</v>
      </c>
    </row>
    <row r="17" spans="1:10" x14ac:dyDescent="0.25" outlineLevel="1" collapsed="1">
      <c r="A17" s="7" t="s">
        <v>19</v>
      </c>
      <c r="B17" s="7" t="s">
        <v>167</v>
      </c>
      <c r="C17" s="7" t="s">
        <v>21</v>
      </c>
      <c r="D17" s="7">
        <f>EXACT(G6,"HWT, IWT")</f>
      </c>
      <c r="E17" s="7" t="s">
        <v>225</v>
      </c>
      <c r="F17" s="7" t="s">
        <v>19</v>
      </c>
      <c r="G17" s="7">
        <v>1</v>
      </c>
      <c r="H17" s="7" t="s">
        <v>21</v>
      </c>
      <c r="I17" s="7" t="s">
        <v>21</v>
      </c>
      <c r="J17" s="7" t="s">
        <v>226</v>
      </c>
    </row>
    <row r="18" spans="1:10" x14ac:dyDescent="0.25" outlineLevel="1" collapsed="1">
      <c r="A18" s="7" t="s">
        <v>19</v>
      </c>
      <c r="B18" s="7" t="s">
        <v>148</v>
      </c>
      <c r="C18" s="7" t="s">
        <v>21</v>
      </c>
      <c r="D18" s="7">
        <f>EXACT(G6,"HWT, IWT")</f>
      </c>
      <c r="E18" s="7" t="s">
        <v>227</v>
      </c>
      <c r="F18" s="7" t="s">
        <v>19</v>
      </c>
      <c r="G18" s="7" t="s">
        <v>41</v>
      </c>
      <c r="H18" s="7" t="s">
        <v>21</v>
      </c>
      <c r="I18" s="7" t="s">
        <v>21</v>
      </c>
      <c r="J18" s="7" t="s">
        <v>228</v>
      </c>
    </row>
    <row r="19" spans="1:10" x14ac:dyDescent="0.25" outlineLevel="1" collapsed="1">
      <c r="A19" s="9" t="s">
        <v>19</v>
      </c>
      <c r="B19" s="10" t="s">
        <v>204</v>
      </c>
      <c r="C19" s="9" t="s">
        <v>21</v>
      </c>
      <c r="D19" s="9">
        <f>EXACT(G6,"CWT, CWS")</f>
      </c>
      <c r="E19" s="9" t="s">
        <v>204</v>
      </c>
      <c r="F19" s="9" t="s">
        <v>19</v>
      </c>
      <c r="G19" s="9" t="s">
        <v>21</v>
      </c>
      <c r="H19" s="9" t="s">
        <v>21</v>
      </c>
      <c r="I19" s="9" t="s">
        <v>21</v>
      </c>
      <c r="J19" s="9" t="s">
        <v>229</v>
      </c>
    </row>
    <row r="20" spans="1:10" x14ac:dyDescent="0.25" outlineLevel="2" collapsed="1">
      <c r="A20" s="7" t="s">
        <v>15</v>
      </c>
      <c r="B20" s="7" t="s">
        <v>27</v>
      </c>
      <c r="C20" s="8" t="s">
        <v>230</v>
      </c>
      <c r="D20" s="7"/>
      <c r="E20" s="7" t="s">
        <v>204</v>
      </c>
      <c r="F20" s="7" t="s">
        <v>19</v>
      </c>
      <c r="G20" s="7" t="s">
        <v>231</v>
      </c>
      <c r="H20" s="7" t="s">
        <v>21</v>
      </c>
      <c r="I20" s="7" t="s">
        <v>21</v>
      </c>
      <c r="J20" s="7" t="s">
        <v>232</v>
      </c>
    </row>
    <row r="21" spans="1:10" x14ac:dyDescent="0.25" outlineLevel="2" collapsed="1">
      <c r="A21" s="7" t="s">
        <v>19</v>
      </c>
      <c r="B21" s="7" t="s">
        <v>148</v>
      </c>
      <c r="C21" s="7" t="s">
        <v>21</v>
      </c>
      <c r="D21" s="7">
        <f>EXACT(G20,"Other (specify)")</f>
      </c>
      <c r="E21" s="7" t="s">
        <v>209</v>
      </c>
      <c r="F21" s="7" t="s">
        <v>19</v>
      </c>
      <c r="G21" s="7" t="s">
        <v>41</v>
      </c>
      <c r="H21" s="7" t="s">
        <v>21</v>
      </c>
      <c r="I21" s="7" t="s">
        <v>21</v>
      </c>
      <c r="J21" s="7" t="s">
        <v>210</v>
      </c>
    </row>
    <row r="22" spans="1:10" x14ac:dyDescent="0.25" outlineLevel="1" collapsed="1">
      <c r="A22" s="7" t="s">
        <v>19</v>
      </c>
      <c r="B22" s="7" t="s">
        <v>148</v>
      </c>
      <c r="C22" s="7" t="s">
        <v>21</v>
      </c>
      <c r="D22" s="7">
        <f>EXACT(G6,"CWT, CWS")</f>
      </c>
      <c r="E22" s="7" t="s">
        <v>211</v>
      </c>
      <c r="F22" s="7" t="s">
        <v>19</v>
      </c>
      <c r="G22" s="7" t="s">
        <v>41</v>
      </c>
      <c r="H22" s="7" t="s">
        <v>21</v>
      </c>
      <c r="I22" s="7" t="s">
        <v>21</v>
      </c>
      <c r="J22" s="7" t="s">
        <v>233</v>
      </c>
    </row>
    <row r="23" spans="1:10" x14ac:dyDescent="0.25" outlineLevel="1" collapsed="1">
      <c r="A23" s="7" t="s">
        <v>19</v>
      </c>
      <c r="B23" s="7" t="s">
        <v>148</v>
      </c>
      <c r="C23" s="7" t="s">
        <v>21</v>
      </c>
      <c r="D23" s="7">
        <f>EXACT(G6,"CWT, CWS")</f>
      </c>
      <c r="E23" s="7" t="s">
        <v>234</v>
      </c>
      <c r="F23" s="7" t="s">
        <v>19</v>
      </c>
      <c r="G23" s="7" t="s">
        <v>41</v>
      </c>
      <c r="H23" s="7" t="s">
        <v>21</v>
      </c>
      <c r="I23" s="7" t="s">
        <v>21</v>
      </c>
      <c r="J23" s="7" t="s">
        <v>235</v>
      </c>
    </row>
    <row r="24" spans="1:10" x14ac:dyDescent="0.25" outlineLevel="1" collapsed="1">
      <c r="A24" s="7" t="s">
        <v>19</v>
      </c>
      <c r="B24" s="7" t="s">
        <v>148</v>
      </c>
      <c r="C24" s="7" t="s">
        <v>21</v>
      </c>
      <c r="D24" s="7">
        <f>EXACT(G6,"CWT, CWS")</f>
      </c>
      <c r="E24" s="7" t="s">
        <v>236</v>
      </c>
      <c r="F24" s="7" t="s">
        <v>19</v>
      </c>
      <c r="G24" s="7" t="s">
        <v>41</v>
      </c>
      <c r="H24" s="7" t="s">
        <v>21</v>
      </c>
      <c r="I24" s="7" t="s">
        <v>21</v>
      </c>
      <c r="J24" s="7" t="s">
        <v>237</v>
      </c>
    </row>
    <row r="25" spans="1:10" x14ac:dyDescent="0.25" outlineLevel="1" collapsed="1">
      <c r="A25" s="7" t="s">
        <v>19</v>
      </c>
      <c r="B25" s="7" t="s">
        <v>167</v>
      </c>
      <c r="C25" s="7" t="s">
        <v>21</v>
      </c>
      <c r="D25" s="7">
        <f>EXACT(G6,"CWT, CWS")</f>
      </c>
      <c r="E25" s="7" t="s">
        <v>238</v>
      </c>
      <c r="F25" s="7" t="s">
        <v>19</v>
      </c>
      <c r="G25" s="7">
        <v>1</v>
      </c>
      <c r="H25" s="7" t="s">
        <v>21</v>
      </c>
      <c r="I25" s="7" t="s">
        <v>21</v>
      </c>
      <c r="J25" s="7" t="s">
        <v>239</v>
      </c>
    </row>
    <row r="26" spans="1:10" x14ac:dyDescent="0.25" outlineLevel="1" collapsed="1">
      <c r="A26" s="7" t="s">
        <v>19</v>
      </c>
      <c r="B26" s="7" t="s">
        <v>167</v>
      </c>
      <c r="C26" s="7" t="s">
        <v>21</v>
      </c>
      <c r="D26" s="7">
        <f>EXACT(G6,"CWT, CWS")</f>
      </c>
      <c r="E26" s="7" t="s">
        <v>240</v>
      </c>
      <c r="F26" s="7" t="s">
        <v>19</v>
      </c>
      <c r="G26" s="7">
        <v>1</v>
      </c>
      <c r="H26" s="7" t="s">
        <v>21</v>
      </c>
      <c r="I26" s="7" t="s">
        <v>21</v>
      </c>
      <c r="J26" s="7" t="s">
        <v>241</v>
      </c>
    </row>
    <row r="27" spans="1:10" x14ac:dyDescent="0.25" outlineLevel="1" collapsed="1">
      <c r="A27" s="7" t="s">
        <v>19</v>
      </c>
      <c r="B27" s="7" t="s">
        <v>148</v>
      </c>
      <c r="C27" s="7" t="s">
        <v>21</v>
      </c>
      <c r="D27" s="7">
        <f>EXACT(G6,"CWT, CWS")</f>
      </c>
      <c r="E27" s="7" t="s">
        <v>215</v>
      </c>
      <c r="F27" s="7" t="s">
        <v>19</v>
      </c>
      <c r="G27" s="7" t="s">
        <v>41</v>
      </c>
      <c r="H27" s="7" t="s">
        <v>21</v>
      </c>
      <c r="I27" s="7" t="s">
        <v>21</v>
      </c>
      <c r="J27" s="7" t="s">
        <v>242</v>
      </c>
    </row>
    <row r="28" spans="1:10" x14ac:dyDescent="0.25" outlineLevel="1" collapsed="1">
      <c r="A28" s="7" t="s">
        <v>19</v>
      </c>
      <c r="B28" s="7" t="s">
        <v>148</v>
      </c>
      <c r="C28" s="7" t="s">
        <v>21</v>
      </c>
      <c r="D28" s="7">
        <f>EXACT(G6,"CWT, CWS")</f>
      </c>
      <c r="E28" s="7" t="s">
        <v>217</v>
      </c>
      <c r="F28" s="7" t="s">
        <v>19</v>
      </c>
      <c r="G28" s="7" t="s">
        <v>41</v>
      </c>
      <c r="H28" s="7" t="s">
        <v>21</v>
      </c>
      <c r="I28" s="7" t="s">
        <v>21</v>
      </c>
      <c r="J28" s="7" t="s">
        <v>243</v>
      </c>
    </row>
    <row r="29" spans="1:10" x14ac:dyDescent="0.25" outlineLevel="1" collapsed="1">
      <c r="A29" s="7" t="s">
        <v>19</v>
      </c>
      <c r="B29" s="7" t="s">
        <v>148</v>
      </c>
      <c r="C29" s="7" t="s">
        <v>21</v>
      </c>
      <c r="D29" s="7">
        <f>EXACT(G6,"CWT, CWS")</f>
      </c>
      <c r="E29" s="7" t="s">
        <v>244</v>
      </c>
      <c r="F29" s="7" t="s">
        <v>19</v>
      </c>
      <c r="G29" s="7" t="s">
        <v>41</v>
      </c>
      <c r="H29" s="7" t="s">
        <v>21</v>
      </c>
      <c r="I29" s="7" t="s">
        <v>21</v>
      </c>
      <c r="J29" s="7" t="s">
        <v>245</v>
      </c>
    </row>
    <row r="30" spans="1:10" x14ac:dyDescent="0.25" outlineLevel="1" collapsed="1">
      <c r="A30" s="7" t="s">
        <v>19</v>
      </c>
      <c r="B30" s="7" t="s">
        <v>246</v>
      </c>
      <c r="C30" s="7" t="s">
        <v>21</v>
      </c>
      <c r="D30" s="7">
        <f>EXACT(G6,"CWT, CWS")</f>
      </c>
      <c r="E30" s="7" t="s">
        <v>247</v>
      </c>
      <c r="F30" s="7" t="s">
        <v>19</v>
      </c>
      <c r="G30" s="7" t="b">
        <v>1</v>
      </c>
      <c r="H30" s="7" t="s">
        <v>21</v>
      </c>
      <c r="I30" s="7" t="s">
        <v>21</v>
      </c>
      <c r="J30" s="7" t="s">
        <v>248</v>
      </c>
    </row>
    <row r="31" spans="1:10" x14ac:dyDescent="0.25" outlineLevel="1" collapsed="1">
      <c r="A31" s="7" t="s">
        <v>19</v>
      </c>
      <c r="B31" s="7" t="s">
        <v>148</v>
      </c>
      <c r="C31" s="7" t="s">
        <v>21</v>
      </c>
      <c r="D31" s="7">
        <f>EXACT(G6,"CWT, CWS")</f>
      </c>
      <c r="E31" s="7" t="s">
        <v>115</v>
      </c>
      <c r="F31" s="7" t="s">
        <v>19</v>
      </c>
      <c r="G31" s="7" t="s">
        <v>41</v>
      </c>
      <c r="H31" s="7" t="s">
        <v>21</v>
      </c>
      <c r="I31" s="7" t="s">
        <v>21</v>
      </c>
      <c r="J31" s="7" t="s">
        <v>249</v>
      </c>
    </row>
    <row r="32" spans="1:10" x14ac:dyDescent="0.25" outlineLevel="1" collapsed="1">
      <c r="A32" s="7" t="s">
        <v>19</v>
      </c>
      <c r="B32" s="7" t="s">
        <v>148</v>
      </c>
      <c r="C32" s="7" t="s">
        <v>21</v>
      </c>
      <c r="D32" s="7">
        <f>EXACT(G6,"CWT, CWS")</f>
      </c>
      <c r="E32" s="7" t="s">
        <v>250</v>
      </c>
      <c r="F32" s="7" t="s">
        <v>19</v>
      </c>
      <c r="G32" s="7" t="s">
        <v>41</v>
      </c>
      <c r="H32" s="7" t="s">
        <v>21</v>
      </c>
      <c r="I32" s="7" t="s">
        <v>21</v>
      </c>
      <c r="J32" s="7" t="s">
        <v>251</v>
      </c>
    </row>
    <row r="33" spans="1:10" x14ac:dyDescent="0.25" outlineLevel="1" collapsed="1">
      <c r="A33" s="7" t="s">
        <v>19</v>
      </c>
      <c r="B33" s="7" t="s">
        <v>56</v>
      </c>
      <c r="C33" s="7" t="s">
        <v>21</v>
      </c>
      <c r="D33" s="7">
        <f>EXACT(G6,"CWT, CWS")</f>
      </c>
      <c r="E33" s="7" t="s">
        <v>252</v>
      </c>
      <c r="F33" s="7" t="s">
        <v>19</v>
      </c>
      <c r="G33" s="7" t="s">
        <v>500</v>
      </c>
      <c r="H33" s="7" t="s">
        <v>21</v>
      </c>
      <c r="I33" s="7" t="s">
        <v>21</v>
      </c>
      <c r="J33" s="7" t="s">
        <v>254</v>
      </c>
    </row>
    <row r="34" spans="1:10" x14ac:dyDescent="0.25" outlineLevel="1" collapsed="1">
      <c r="A34" s="9" t="s">
        <v>19</v>
      </c>
      <c r="B34" s="10" t="s">
        <v>255</v>
      </c>
      <c r="C34" s="9" t="s">
        <v>21</v>
      </c>
      <c r="D34" s="9">
        <f>EXACT(G6,"CWT, CWS")</f>
      </c>
      <c r="E34" s="9" t="s">
        <v>256</v>
      </c>
      <c r="F34" s="9" t="s">
        <v>19</v>
      </c>
      <c r="G34" s="9" t="s">
        <v>21</v>
      </c>
      <c r="H34" s="9" t="s">
        <v>21</v>
      </c>
      <c r="I34" s="9" t="s">
        <v>21</v>
      </c>
      <c r="J34" s="9" t="s">
        <v>257</v>
      </c>
    </row>
    <row r="35" spans="1:10" x14ac:dyDescent="0.25" outlineLevel="2" collapsed="1">
      <c r="A35" s="7" t="s">
        <v>15</v>
      </c>
      <c r="B35" s="7" t="s">
        <v>246</v>
      </c>
      <c r="C35" s="7" t="s">
        <v>21</v>
      </c>
      <c r="D35" s="7"/>
      <c r="E35" s="7" t="s">
        <v>258</v>
      </c>
      <c r="F35" s="7" t="s">
        <v>19</v>
      </c>
      <c r="G35" s="7" t="b">
        <v>1</v>
      </c>
      <c r="H35" s="7" t="s">
        <v>21</v>
      </c>
      <c r="I35" s="7" t="s">
        <v>21</v>
      </c>
      <c r="J35" s="7" t="s">
        <v>259</v>
      </c>
    </row>
    <row r="36" spans="1:10" x14ac:dyDescent="0.25" outlineLevel="2" collapsed="1">
      <c r="A36" s="7" t="s">
        <v>19</v>
      </c>
      <c r="B36" s="7" t="s">
        <v>175</v>
      </c>
      <c r="C36" s="7" t="s">
        <v>21</v>
      </c>
      <c r="D36" s="7">
        <f>EXACT(G35,true)</f>
      </c>
      <c r="E36" s="7" t="s">
        <v>260</v>
      </c>
      <c r="F36" s="7" t="s">
        <v>19</v>
      </c>
      <c r="G36" s="7" t="s">
        <v>177</v>
      </c>
      <c r="H36" s="7" t="s">
        <v>21</v>
      </c>
      <c r="I36" s="7" t="s">
        <v>21</v>
      </c>
      <c r="J36" s="7" t="s">
        <v>261</v>
      </c>
    </row>
    <row r="37" spans="1:10" x14ac:dyDescent="0.25" outlineLevel="2" collapsed="1">
      <c r="A37" s="7" t="s">
        <v>19</v>
      </c>
      <c r="B37" s="7" t="s">
        <v>16</v>
      </c>
      <c r="C37" s="7" t="s">
        <v>262</v>
      </c>
      <c r="D37" s="7">
        <f>EXACT(G35,true)</f>
      </c>
      <c r="E37" s="7" t="s">
        <v>263</v>
      </c>
      <c r="F37" s="7" t="s">
        <v>19</v>
      </c>
      <c r="G37" s="7" t="s">
        <v>501</v>
      </c>
      <c r="H37" s="7" t="s">
        <v>21</v>
      </c>
      <c r="I37" s="7" t="s">
        <v>21</v>
      </c>
      <c r="J37" s="7" t="s">
        <v>265</v>
      </c>
    </row>
    <row r="38" spans="1:10" x14ac:dyDescent="0.25" outlineLevel="2" collapsed="1">
      <c r="A38" s="7" t="s">
        <v>19</v>
      </c>
      <c r="B38" s="7" t="s">
        <v>175</v>
      </c>
      <c r="C38" s="7" t="s">
        <v>21</v>
      </c>
      <c r="D38" s="7">
        <f>EXACT(G35,true)</f>
      </c>
      <c r="E38" s="7" t="s">
        <v>266</v>
      </c>
      <c r="F38" s="7" t="s">
        <v>19</v>
      </c>
      <c r="G38" s="7" t="s">
        <v>177</v>
      </c>
      <c r="H38" s="7" t="s">
        <v>21</v>
      </c>
      <c r="I38" s="7" t="s">
        <v>21</v>
      </c>
      <c r="J38" s="7" t="s">
        <v>267</v>
      </c>
    </row>
    <row r="39" spans="1:10" x14ac:dyDescent="0.25" outlineLevel="2" collapsed="1">
      <c r="A39" s="7" t="s">
        <v>19</v>
      </c>
      <c r="B39" s="7" t="s">
        <v>56</v>
      </c>
      <c r="C39" s="7" t="s">
        <v>21</v>
      </c>
      <c r="D39" s="7">
        <f>EXACT(G35,true)</f>
      </c>
      <c r="E39" s="7" t="s">
        <v>268</v>
      </c>
      <c r="F39" s="7" t="s">
        <v>19</v>
      </c>
      <c r="G39" s="7" t="s">
        <v>502</v>
      </c>
      <c r="H39" s="7" t="s">
        <v>21</v>
      </c>
      <c r="I39" s="7" t="s">
        <v>21</v>
      </c>
      <c r="J39" s="7" t="s">
        <v>270</v>
      </c>
    </row>
    <row r="40" spans="1:10" x14ac:dyDescent="0.25" outlineLevel="2" collapsed="1">
      <c r="A40" s="7" t="s">
        <v>19</v>
      </c>
      <c r="B40" s="7" t="s">
        <v>56</v>
      </c>
      <c r="C40" s="7" t="s">
        <v>21</v>
      </c>
      <c r="D40" s="7">
        <f>EXACT(G35,true)</f>
      </c>
      <c r="E40" s="7" t="s">
        <v>271</v>
      </c>
      <c r="F40" s="7" t="s">
        <v>19</v>
      </c>
      <c r="G40" s="7" t="s">
        <v>503</v>
      </c>
      <c r="H40" s="7" t="s">
        <v>21</v>
      </c>
      <c r="I40" s="7" t="s">
        <v>21</v>
      </c>
      <c r="J40" s="7" t="s">
        <v>273</v>
      </c>
    </row>
    <row r="41" spans="1:10" x14ac:dyDescent="0.25">
      <c r="A41" s="5" t="s">
        <v>15</v>
      </c>
      <c r="B41" s="5" t="s">
        <v>148</v>
      </c>
      <c r="C41" s="5" t="s">
        <v>21</v>
      </c>
      <c r="D41" s="5"/>
      <c r="E41" s="5" t="s">
        <v>274</v>
      </c>
      <c r="F41" s="5" t="s">
        <v>19</v>
      </c>
      <c r="G41" s="5" t="s">
        <v>41</v>
      </c>
      <c r="H41" s="5" t="s">
        <v>21</v>
      </c>
      <c r="I41" s="5" t="s">
        <v>21</v>
      </c>
      <c r="J41" s="5" t="s">
        <v>275</v>
      </c>
    </row>
  </sheetData>
  <mergeCells count="3">
    <mergeCell ref="A1:J1"/>
    <mergeCell ref="B2:J2"/>
    <mergeCell ref="B3:J3"/>
  </mergeCells>
  <dataValidations count="3">
    <dataValidation type="list" allowBlank="1" sqref="G20:I20">
      <formula1>'Treatment Technology Su (enum)'!A4:A9</formula1>
    </dataValidation>
    <dataValidation type="list" allowBlank="1" sqref="G6:I6">
      <formula1>'Treatment Technology Ca (enum)'!A4:A5</formula1>
    </dataValidation>
    <dataValidation type="list" allowBlank="1" sqref="G8:I8">
      <formula1>'Treatment Technology 2 (enum)'!A4:A9</formula1>
    </dataValidation>
  </dataValidations>
  <hyperlinks>
    <hyperlink ref="B5" r:id="rId1" location="#'Water Treatment Technology - C'!A1"/>
    <hyperlink ref="C6" r:id="rId2" location="#'Treatment Technology Ca (enum)'!A3"/>
    <hyperlink ref="B7" r:id="rId3" location="#'Treatment Technology Sub-ty 2'!A1"/>
    <hyperlink ref="C8" r:id="rId4" location="#'Treatment Technology 2 (enum)'!A3"/>
    <hyperlink ref="B19" r:id="rId5" location="#'Treatment Technology Sub-type'!A1"/>
    <hyperlink ref="C20" r:id="rId6" location="#'Treatment Technology Su (enum)'!A3"/>
    <hyperlink ref="B34" r:id="rId7" location="#'If the Project Installation i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504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246</v>
      </c>
      <c r="C5" s="5" t="s">
        <v>21</v>
      </c>
      <c r="D5" s="5"/>
      <c r="E5" s="5" t="s">
        <v>258</v>
      </c>
      <c r="F5" s="5" t="s">
        <v>19</v>
      </c>
      <c r="G5" s="5" t="b">
        <v>1</v>
      </c>
      <c r="H5" s="5" t="s">
        <v>21</v>
      </c>
      <c r="I5" s="5" t="s">
        <v>21</v>
      </c>
      <c r="J5" s="5" t="s">
        <v>259</v>
      </c>
    </row>
    <row r="6" spans="1:10" x14ac:dyDescent="0.25">
      <c r="A6" s="5" t="s">
        <v>19</v>
      </c>
      <c r="B6" s="5" t="s">
        <v>175</v>
      </c>
      <c r="C6" s="5" t="s">
        <v>21</v>
      </c>
      <c r="D6" s="5">
        <f>EXACT(G5,true)</f>
      </c>
      <c r="E6" s="5" t="s">
        <v>260</v>
      </c>
      <c r="F6" s="5" t="s">
        <v>19</v>
      </c>
      <c r="G6" s="5" t="s">
        <v>177</v>
      </c>
      <c r="H6" s="5" t="s">
        <v>21</v>
      </c>
      <c r="I6" s="5" t="s">
        <v>21</v>
      </c>
      <c r="J6" s="5" t="s">
        <v>261</v>
      </c>
    </row>
    <row r="7" spans="1:10" x14ac:dyDescent="0.25">
      <c r="A7" s="5" t="s">
        <v>19</v>
      </c>
      <c r="B7" s="5" t="s">
        <v>16</v>
      </c>
      <c r="C7" s="5" t="s">
        <v>262</v>
      </c>
      <c r="D7" s="5">
        <f>EXACT(G5,true)</f>
      </c>
      <c r="E7" s="5" t="s">
        <v>263</v>
      </c>
      <c r="F7" s="5" t="s">
        <v>19</v>
      </c>
      <c r="G7" s="5" t="s">
        <v>505</v>
      </c>
      <c r="H7" s="5" t="s">
        <v>21</v>
      </c>
      <c r="I7" s="5" t="s">
        <v>21</v>
      </c>
      <c r="J7" s="5" t="s">
        <v>265</v>
      </c>
    </row>
    <row r="8" spans="1:10" x14ac:dyDescent="0.25">
      <c r="A8" s="5" t="s">
        <v>19</v>
      </c>
      <c r="B8" s="5" t="s">
        <v>175</v>
      </c>
      <c r="C8" s="5" t="s">
        <v>21</v>
      </c>
      <c r="D8" s="5">
        <f>EXACT(G5,true)</f>
      </c>
      <c r="E8" s="5" t="s">
        <v>266</v>
      </c>
      <c r="F8" s="5" t="s">
        <v>19</v>
      </c>
      <c r="G8" s="5" t="s">
        <v>177</v>
      </c>
      <c r="H8" s="5" t="s">
        <v>21</v>
      </c>
      <c r="I8" s="5" t="s">
        <v>21</v>
      </c>
      <c r="J8" s="5" t="s">
        <v>267</v>
      </c>
    </row>
    <row r="9" spans="1:10" x14ac:dyDescent="0.25">
      <c r="A9" s="5" t="s">
        <v>19</v>
      </c>
      <c r="B9" s="5" t="s">
        <v>56</v>
      </c>
      <c r="C9" s="5" t="s">
        <v>21</v>
      </c>
      <c r="D9" s="5">
        <f>EXACT(G5,true)</f>
      </c>
      <c r="E9" s="5" t="s">
        <v>268</v>
      </c>
      <c r="F9" s="5" t="s">
        <v>19</v>
      </c>
      <c r="G9" s="5" t="s">
        <v>506</v>
      </c>
      <c r="H9" s="5" t="s">
        <v>21</v>
      </c>
      <c r="I9" s="5" t="s">
        <v>21</v>
      </c>
      <c r="J9" s="5" t="s">
        <v>270</v>
      </c>
    </row>
    <row r="10" spans="1:10" x14ac:dyDescent="0.25">
      <c r="A10" s="5" t="s">
        <v>19</v>
      </c>
      <c r="B10" s="5" t="s">
        <v>56</v>
      </c>
      <c r="C10" s="5" t="s">
        <v>21</v>
      </c>
      <c r="D10" s="5">
        <f>EXACT(G5,true)</f>
      </c>
      <c r="E10" s="5" t="s">
        <v>271</v>
      </c>
      <c r="F10" s="5" t="s">
        <v>19</v>
      </c>
      <c r="G10" s="5" t="s">
        <v>507</v>
      </c>
      <c r="H10" s="5" t="s">
        <v>21</v>
      </c>
      <c r="I10" s="5" t="s">
        <v>21</v>
      </c>
      <c r="J10" s="5" t="s">
        <v>273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145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148</v>
      </c>
      <c r="C5" s="5" t="s">
        <v>21</v>
      </c>
      <c r="D5" s="5"/>
      <c r="E5" s="5" t="s">
        <v>18</v>
      </c>
      <c r="F5" s="5" t="s">
        <v>19</v>
      </c>
      <c r="G5" s="5" t="s">
        <v>41</v>
      </c>
      <c r="H5" s="5" t="s">
        <v>21</v>
      </c>
      <c r="I5" s="5" t="s">
        <v>21</v>
      </c>
      <c r="J5" s="5" t="s">
        <v>149</v>
      </c>
    </row>
    <row r="6" spans="1:10" x14ac:dyDescent="0.25">
      <c r="A6" s="5" t="s">
        <v>15</v>
      </c>
      <c r="B6" s="5" t="s">
        <v>43</v>
      </c>
      <c r="C6" s="5" t="s">
        <v>21</v>
      </c>
      <c r="D6" s="5"/>
      <c r="E6" s="5" t="s">
        <v>150</v>
      </c>
      <c r="F6" s="5" t="s">
        <v>19</v>
      </c>
      <c r="G6" s="5" t="s">
        <v>95</v>
      </c>
      <c r="H6" s="5" t="s">
        <v>21</v>
      </c>
      <c r="I6" s="5" t="s">
        <v>21</v>
      </c>
      <c r="J6" s="5" t="s">
        <v>151</v>
      </c>
    </row>
    <row r="7" spans="1:10" x14ac:dyDescent="0.25">
      <c r="A7" s="5" t="s">
        <v>15</v>
      </c>
      <c r="B7" s="5" t="s">
        <v>16</v>
      </c>
      <c r="C7" s="5" t="s">
        <v>152</v>
      </c>
      <c r="D7" s="5"/>
      <c r="E7" s="5" t="s">
        <v>153</v>
      </c>
      <c r="F7" s="5" t="s">
        <v>19</v>
      </c>
      <c r="G7" s="5" t="s">
        <v>508</v>
      </c>
      <c r="H7" s="5" t="s">
        <v>21</v>
      </c>
      <c r="I7" s="5" t="s">
        <v>21</v>
      </c>
      <c r="J7" s="5" t="s">
        <v>155</v>
      </c>
    </row>
    <row r="8" spans="1:10" x14ac:dyDescent="0.25">
      <c r="A8" s="5" t="s">
        <v>15</v>
      </c>
      <c r="B8" s="5" t="s">
        <v>16</v>
      </c>
      <c r="C8" s="5" t="s">
        <v>52</v>
      </c>
      <c r="D8" s="5"/>
      <c r="E8" s="5" t="s">
        <v>156</v>
      </c>
      <c r="F8" s="5" t="s">
        <v>19</v>
      </c>
      <c r="G8" s="5" t="s">
        <v>509</v>
      </c>
      <c r="H8" s="5" t="s">
        <v>21</v>
      </c>
      <c r="I8" s="5" t="s">
        <v>21</v>
      </c>
      <c r="J8" s="5" t="s">
        <v>158</v>
      </c>
    </row>
    <row r="9" spans="1:10" x14ac:dyDescent="0.25">
      <c r="A9" s="5" t="s">
        <v>15</v>
      </c>
      <c r="B9" s="5" t="s">
        <v>16</v>
      </c>
      <c r="C9" s="5" t="s">
        <v>52</v>
      </c>
      <c r="D9" s="5"/>
      <c r="E9" s="5" t="s">
        <v>159</v>
      </c>
      <c r="F9" s="5" t="s">
        <v>19</v>
      </c>
      <c r="G9" s="5" t="s">
        <v>510</v>
      </c>
      <c r="H9" s="5" t="s">
        <v>21</v>
      </c>
      <c r="I9" s="5" t="s">
        <v>21</v>
      </c>
      <c r="J9" s="5" t="s">
        <v>161</v>
      </c>
    </row>
    <row r="10" spans="1:10" x14ac:dyDescent="0.25">
      <c r="A10" s="5" t="s">
        <v>15</v>
      </c>
      <c r="B10" s="5" t="s">
        <v>16</v>
      </c>
      <c r="C10" s="5" t="s">
        <v>162</v>
      </c>
      <c r="D10" s="5"/>
      <c r="E10" s="5" t="s">
        <v>163</v>
      </c>
      <c r="F10" s="5" t="s">
        <v>19</v>
      </c>
      <c r="G10" s="5" t="s">
        <v>511</v>
      </c>
      <c r="H10" s="5" t="s">
        <v>21</v>
      </c>
      <c r="I10" s="5" t="s">
        <v>21</v>
      </c>
      <c r="J10" s="5" t="s">
        <v>165</v>
      </c>
    </row>
    <row r="11" spans="1:10" x14ac:dyDescent="0.25">
      <c r="A11" s="5" t="s">
        <v>15</v>
      </c>
      <c r="B11" s="5" t="s">
        <v>16</v>
      </c>
      <c r="C11" s="5" t="s">
        <v>82</v>
      </c>
      <c r="D11" s="5"/>
      <c r="E11" s="5" t="s">
        <v>83</v>
      </c>
      <c r="F11" s="5" t="s">
        <v>19</v>
      </c>
      <c r="G11" s="5" t="s">
        <v>512</v>
      </c>
      <c r="H11" s="5" t="s">
        <v>21</v>
      </c>
      <c r="I11" s="5" t="s">
        <v>21</v>
      </c>
      <c r="J11" s="5" t="s">
        <v>85</v>
      </c>
    </row>
    <row r="12" spans="1:10" x14ac:dyDescent="0.25">
      <c r="A12" s="5" t="s">
        <v>15</v>
      </c>
      <c r="B12" s="5" t="s">
        <v>167</v>
      </c>
      <c r="C12" s="5" t="s">
        <v>21</v>
      </c>
      <c r="D12" s="5"/>
      <c r="E12" s="5" t="s">
        <v>168</v>
      </c>
      <c r="F12" s="5" t="s">
        <v>19</v>
      </c>
      <c r="G12" s="5">
        <v>1</v>
      </c>
      <c r="H12" s="5" t="s">
        <v>21</v>
      </c>
      <c r="I12" s="5" t="s">
        <v>21</v>
      </c>
      <c r="J12" s="5" t="s">
        <v>169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18</v>
      </c>
      <c r="F5" s="5" t="s">
        <v>19</v>
      </c>
      <c r="G5" s="5" t="s">
        <v>513</v>
      </c>
      <c r="H5" s="5" t="s">
        <v>21</v>
      </c>
      <c r="I5" s="5" t="s">
        <v>21</v>
      </c>
      <c r="J5" s="5" t="s">
        <v>22</v>
      </c>
    </row>
    <row r="6" spans="1:10" x14ac:dyDescent="0.25">
      <c r="A6" s="5" t="s">
        <v>15</v>
      </c>
      <c r="B6" s="5" t="s">
        <v>27</v>
      </c>
      <c r="C6" s="6" t="s">
        <v>75</v>
      </c>
      <c r="D6" s="5"/>
      <c r="E6" s="5" t="s">
        <v>76</v>
      </c>
      <c r="F6" s="5" t="s">
        <v>19</v>
      </c>
      <c r="G6" s="5" t="s">
        <v>77</v>
      </c>
      <c r="H6" s="5" t="s">
        <v>21</v>
      </c>
      <c r="I6" s="5" t="s">
        <v>21</v>
      </c>
      <c r="J6" s="5" t="s">
        <v>78</v>
      </c>
    </row>
    <row r="7" spans="1:10" x14ac:dyDescent="0.25">
      <c r="A7" s="5" t="s">
        <v>15</v>
      </c>
      <c r="B7" s="5" t="s">
        <v>16</v>
      </c>
      <c r="C7" s="5" t="s">
        <v>39</v>
      </c>
      <c r="D7" s="5"/>
      <c r="E7" s="5" t="s">
        <v>79</v>
      </c>
      <c r="F7" s="5" t="s">
        <v>19</v>
      </c>
      <c r="G7" s="5" t="s">
        <v>514</v>
      </c>
      <c r="H7" s="5" t="s">
        <v>21</v>
      </c>
      <c r="I7" s="5" t="s">
        <v>21</v>
      </c>
      <c r="J7" s="5" t="s">
        <v>81</v>
      </c>
    </row>
    <row r="8" spans="1:10" x14ac:dyDescent="0.25">
      <c r="A8" s="5" t="s">
        <v>15</v>
      </c>
      <c r="B8" s="5" t="s">
        <v>16</v>
      </c>
      <c r="C8" s="5" t="s">
        <v>82</v>
      </c>
      <c r="D8" s="5"/>
      <c r="E8" s="5" t="s">
        <v>83</v>
      </c>
      <c r="F8" s="5" t="s">
        <v>19</v>
      </c>
      <c r="G8" s="5" t="s">
        <v>515</v>
      </c>
      <c r="H8" s="5" t="s">
        <v>21</v>
      </c>
      <c r="I8" s="5" t="s">
        <v>21</v>
      </c>
      <c r="J8" s="5" t="s">
        <v>85</v>
      </c>
    </row>
  </sheetData>
  <mergeCells count="3">
    <mergeCell ref="A1:J1"/>
    <mergeCell ref="B2:J2"/>
    <mergeCell ref="B3:J3"/>
  </mergeCells>
  <dataValidations count="1">
    <dataValidation type="list" allowBlank="1" sqref="G6:I6">
      <formula1>'Entity Type (enum)'!A4:A8</formula1>
    </dataValidation>
  </dataValidations>
  <hyperlinks>
    <hyperlink ref="C6" r:id="rId1" location="#'Entity Type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86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47</v>
      </c>
      <c r="D5" s="5"/>
      <c r="E5" s="5" t="s">
        <v>89</v>
      </c>
      <c r="F5" s="5" t="s">
        <v>19</v>
      </c>
      <c r="G5" s="5" t="s">
        <v>516</v>
      </c>
      <c r="H5" s="5" t="s">
        <v>21</v>
      </c>
      <c r="I5" s="5" t="s">
        <v>21</v>
      </c>
      <c r="J5" s="5" t="s">
        <v>91</v>
      </c>
    </row>
    <row r="6" spans="1:10" x14ac:dyDescent="0.25">
      <c r="A6" s="5" t="s">
        <v>15</v>
      </c>
      <c r="B6" s="5" t="s">
        <v>16</v>
      </c>
      <c r="C6" s="5" t="s">
        <v>47</v>
      </c>
      <c r="D6" s="5"/>
      <c r="E6" s="5" t="s">
        <v>92</v>
      </c>
      <c r="F6" s="5" t="s">
        <v>19</v>
      </c>
      <c r="G6" s="5" t="s">
        <v>517</v>
      </c>
      <c r="H6" s="5" t="s">
        <v>21</v>
      </c>
      <c r="I6" s="5" t="s">
        <v>21</v>
      </c>
      <c r="J6" s="5" t="s">
        <v>94</v>
      </c>
    </row>
    <row r="7" spans="1:10" x14ac:dyDescent="0.25">
      <c r="A7" s="5" t="s">
        <v>15</v>
      </c>
      <c r="B7" s="5" t="s">
        <v>43</v>
      </c>
      <c r="C7" s="5" t="s">
        <v>21</v>
      </c>
      <c r="D7" s="5"/>
      <c r="E7" s="5" t="s">
        <v>44</v>
      </c>
      <c r="F7" s="5" t="s">
        <v>19</v>
      </c>
      <c r="G7" s="5" t="s">
        <v>95</v>
      </c>
      <c r="H7" s="5" t="s">
        <v>21</v>
      </c>
      <c r="I7" s="5" t="s">
        <v>21</v>
      </c>
      <c r="J7" s="5" t="s">
        <v>46</v>
      </c>
    </row>
    <row r="8" spans="1:10" x14ac:dyDescent="0.25">
      <c r="A8" s="5" t="s">
        <v>15</v>
      </c>
      <c r="B8" s="5" t="s">
        <v>16</v>
      </c>
      <c r="C8" s="5" t="s">
        <v>52</v>
      </c>
      <c r="D8" s="5"/>
      <c r="E8" s="5" t="s">
        <v>96</v>
      </c>
      <c r="F8" s="5" t="s">
        <v>19</v>
      </c>
      <c r="G8" s="5" t="s">
        <v>518</v>
      </c>
      <c r="H8" s="5" t="s">
        <v>21</v>
      </c>
      <c r="I8" s="5" t="s">
        <v>21</v>
      </c>
      <c r="J8" s="5" t="s">
        <v>98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23</v>
      </c>
      <c r="C5" s="5" t="s">
        <v>21</v>
      </c>
      <c r="D5" s="5"/>
      <c r="E5" s="5" t="s">
        <v>23</v>
      </c>
      <c r="F5" s="5" t="s">
        <v>19</v>
      </c>
      <c r="G5" s="5" t="s">
        <v>21</v>
      </c>
      <c r="H5" s="5" t="s">
        <v>21</v>
      </c>
      <c r="I5" s="5" t="s">
        <v>21</v>
      </c>
      <c r="J5" s="5" t="s">
        <v>30</v>
      </c>
    </row>
    <row r="6" spans="1:10" x14ac:dyDescent="0.25" outlineLevel="1" collapsed="1">
      <c r="A6" s="7" t="s">
        <v>15</v>
      </c>
      <c r="B6" s="7" t="s">
        <v>27</v>
      </c>
      <c r="C6" s="8" t="s">
        <v>28</v>
      </c>
      <c r="D6" s="7"/>
      <c r="E6" s="7" t="s">
        <v>23</v>
      </c>
      <c r="F6" s="7" t="s">
        <v>19</v>
      </c>
      <c r="G6" s="7" t="s">
        <v>29</v>
      </c>
      <c r="H6" s="7" t="s">
        <v>21</v>
      </c>
      <c r="I6" s="7" t="s">
        <v>21</v>
      </c>
      <c r="J6" s="7" t="s">
        <v>30</v>
      </c>
    </row>
    <row r="7" spans="1:10" x14ac:dyDescent="0.25">
      <c r="A7" s="5" t="s">
        <v>15</v>
      </c>
      <c r="B7" s="5" t="s">
        <v>16</v>
      </c>
      <c r="C7" s="5" t="s">
        <v>119</v>
      </c>
      <c r="D7" s="5"/>
      <c r="E7" s="5" t="s">
        <v>120</v>
      </c>
      <c r="F7" s="5" t="s">
        <v>19</v>
      </c>
      <c r="G7" s="5" t="s">
        <v>519</v>
      </c>
      <c r="H7" s="5" t="s">
        <v>21</v>
      </c>
      <c r="I7" s="5" t="s">
        <v>21</v>
      </c>
      <c r="J7" s="5" t="s">
        <v>122</v>
      </c>
    </row>
    <row r="8" spans="1:10" x14ac:dyDescent="0.25">
      <c r="A8" s="5" t="s">
        <v>15</v>
      </c>
      <c r="B8" s="5" t="s">
        <v>16</v>
      </c>
      <c r="C8" s="5" t="s">
        <v>123</v>
      </c>
      <c r="D8" s="5"/>
      <c r="E8" s="5" t="s">
        <v>124</v>
      </c>
      <c r="F8" s="5" t="s">
        <v>19</v>
      </c>
      <c r="G8" s="5" t="s">
        <v>520</v>
      </c>
      <c r="H8" s="5" t="s">
        <v>21</v>
      </c>
      <c r="I8" s="5" t="s">
        <v>21</v>
      </c>
      <c r="J8" s="5" t="s">
        <v>126</v>
      </c>
    </row>
    <row r="9" spans="1:10" x14ac:dyDescent="0.25">
      <c r="A9" s="5" t="s">
        <v>15</v>
      </c>
      <c r="B9" s="5" t="s">
        <v>16</v>
      </c>
      <c r="C9" s="5" t="s">
        <v>127</v>
      </c>
      <c r="D9" s="5"/>
      <c r="E9" s="5" t="s">
        <v>128</v>
      </c>
      <c r="F9" s="5" t="s">
        <v>19</v>
      </c>
      <c r="G9" s="5" t="s">
        <v>521</v>
      </c>
      <c r="H9" s="5" t="s">
        <v>21</v>
      </c>
      <c r="I9" s="5" t="s">
        <v>21</v>
      </c>
      <c r="J9" s="5" t="s">
        <v>130</v>
      </c>
    </row>
    <row r="10" spans="1:10" x14ac:dyDescent="0.25">
      <c r="A10" s="5" t="s">
        <v>15</v>
      </c>
      <c r="B10" s="5" t="s">
        <v>27</v>
      </c>
      <c r="C10" s="6" t="s">
        <v>131</v>
      </c>
      <c r="D10" s="5"/>
      <c r="E10" s="5" t="s">
        <v>132</v>
      </c>
      <c r="F10" s="5" t="s">
        <v>19</v>
      </c>
      <c r="G10" s="5" t="s">
        <v>133</v>
      </c>
      <c r="H10" s="5" t="s">
        <v>21</v>
      </c>
      <c r="I10" s="5" t="s">
        <v>21</v>
      </c>
      <c r="J10" s="5" t="s">
        <v>134</v>
      </c>
    </row>
    <row r="11" spans="1:10" x14ac:dyDescent="0.25">
      <c r="A11" s="5" t="s">
        <v>15</v>
      </c>
      <c r="B11" s="5" t="s">
        <v>135</v>
      </c>
      <c r="C11" s="5" t="s">
        <v>21</v>
      </c>
      <c r="D11" s="5"/>
      <c r="E11" s="5" t="s">
        <v>136</v>
      </c>
      <c r="F11" s="5" t="s">
        <v>19</v>
      </c>
      <c r="G11" s="5" t="s">
        <v>21</v>
      </c>
      <c r="H11" s="5" t="s">
        <v>21</v>
      </c>
      <c r="I11" s="5" t="s">
        <v>21</v>
      </c>
      <c r="J11" s="5" t="s">
        <v>118</v>
      </c>
    </row>
    <row r="12" spans="1:10" x14ac:dyDescent="0.25">
      <c r="A12" s="5" t="s">
        <v>15</v>
      </c>
      <c r="B12" s="5" t="s">
        <v>16</v>
      </c>
      <c r="C12" s="5" t="s">
        <v>137</v>
      </c>
      <c r="D12" s="5"/>
      <c r="E12" s="5" t="s">
        <v>138</v>
      </c>
      <c r="F12" s="5" t="s">
        <v>19</v>
      </c>
      <c r="G12" s="5" t="s">
        <v>522</v>
      </c>
      <c r="H12" s="5" t="s">
        <v>21</v>
      </c>
      <c r="I12" s="5" t="s">
        <v>21</v>
      </c>
      <c r="J12" s="5" t="s">
        <v>140</v>
      </c>
    </row>
    <row r="13" spans="1:10" x14ac:dyDescent="0.25">
      <c r="A13" s="5" t="s">
        <v>15</v>
      </c>
      <c r="B13" s="5" t="s">
        <v>16</v>
      </c>
      <c r="C13" s="5" t="s">
        <v>141</v>
      </c>
      <c r="D13" s="5"/>
      <c r="E13" s="5" t="s">
        <v>142</v>
      </c>
      <c r="F13" s="5" t="s">
        <v>19</v>
      </c>
      <c r="G13" s="5" t="s">
        <v>523</v>
      </c>
      <c r="H13" s="5" t="s">
        <v>21</v>
      </c>
      <c r="I13" s="5" t="s">
        <v>21</v>
      </c>
      <c r="J13" s="5" t="s">
        <v>144</v>
      </c>
    </row>
  </sheetData>
  <mergeCells count="3">
    <mergeCell ref="A1:J1"/>
    <mergeCell ref="B2:J2"/>
    <mergeCell ref="B3:J3"/>
  </mergeCells>
  <dataValidations count="2">
    <dataValidation type="list" allowBlank="1" sqref="G10:I10">
      <formula1>'UrbanRural Classificati (enum)'!A4:A5</formula1>
    </dataValidation>
    <dataValidation type="list" allowBlank="1" sqref="G6:I6">
      <formula1>'Country 2 (enum)'!A4:A256</formula1>
    </dataValidation>
  </dataValidations>
  <hyperlinks>
    <hyperlink ref="B5" r:id="rId1" location="#'Country'!A1"/>
    <hyperlink ref="C6" r:id="rId2" location="#'Country 2 (enum)'!A3"/>
    <hyperlink ref="C10" r:id="rId3" location="#'UrbanRural Classificati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170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173</v>
      </c>
      <c r="D5" s="5"/>
      <c r="E5" s="5" t="s">
        <v>102</v>
      </c>
      <c r="F5" s="5" t="s">
        <v>19</v>
      </c>
      <c r="G5" s="5" t="s">
        <v>524</v>
      </c>
      <c r="H5" s="5" t="s">
        <v>21</v>
      </c>
      <c r="I5" s="5" t="s">
        <v>21</v>
      </c>
      <c r="J5" s="5" t="s">
        <v>104</v>
      </c>
    </row>
    <row r="6" spans="1:10" x14ac:dyDescent="0.25">
      <c r="A6" s="5" t="s">
        <v>15</v>
      </c>
      <c r="B6" s="5" t="s">
        <v>175</v>
      </c>
      <c r="C6" s="5" t="s">
        <v>21</v>
      </c>
      <c r="D6" s="5"/>
      <c r="E6" s="5" t="s">
        <v>176</v>
      </c>
      <c r="F6" s="5" t="s">
        <v>19</v>
      </c>
      <c r="G6" s="5" t="s">
        <v>177</v>
      </c>
      <c r="H6" s="5" t="s">
        <v>21</v>
      </c>
      <c r="I6" s="5" t="s">
        <v>21</v>
      </c>
      <c r="J6" s="5" t="s">
        <v>178</v>
      </c>
    </row>
    <row r="7" spans="1:10" x14ac:dyDescent="0.25">
      <c r="A7" s="5" t="s">
        <v>15</v>
      </c>
      <c r="B7" s="5" t="s">
        <v>175</v>
      </c>
      <c r="C7" s="5" t="s">
        <v>21</v>
      </c>
      <c r="D7" s="5"/>
      <c r="E7" s="5" t="s">
        <v>179</v>
      </c>
      <c r="F7" s="5" t="s">
        <v>19</v>
      </c>
      <c r="G7" s="5" t="s">
        <v>177</v>
      </c>
      <c r="H7" s="5" t="s">
        <v>21</v>
      </c>
      <c r="I7" s="5" t="s">
        <v>21</v>
      </c>
      <c r="J7" s="5" t="s">
        <v>180</v>
      </c>
    </row>
    <row r="8" spans="1:10" x14ac:dyDescent="0.25">
      <c r="A8" s="5" t="s">
        <v>15</v>
      </c>
      <c r="B8" s="5" t="s">
        <v>27</v>
      </c>
      <c r="C8" s="6" t="s">
        <v>181</v>
      </c>
      <c r="D8" s="5"/>
      <c r="E8" s="5" t="s">
        <v>182</v>
      </c>
      <c r="F8" s="5" t="s">
        <v>19</v>
      </c>
      <c r="G8" s="5" t="s">
        <v>183</v>
      </c>
      <c r="H8" s="5" t="s">
        <v>21</v>
      </c>
      <c r="I8" s="5" t="s">
        <v>21</v>
      </c>
      <c r="J8" s="5" t="s">
        <v>184</v>
      </c>
    </row>
    <row r="9" spans="1:10" x14ac:dyDescent="0.25">
      <c r="A9" s="5" t="s">
        <v>15</v>
      </c>
      <c r="B9" s="5" t="s">
        <v>16</v>
      </c>
      <c r="C9" s="5" t="s">
        <v>185</v>
      </c>
      <c r="D9" s="5"/>
      <c r="E9" s="5" t="s">
        <v>186</v>
      </c>
      <c r="F9" s="5" t="s">
        <v>19</v>
      </c>
      <c r="G9" s="5" t="s">
        <v>525</v>
      </c>
      <c r="H9" s="5" t="s">
        <v>21</v>
      </c>
      <c r="I9" s="5" t="s">
        <v>21</v>
      </c>
      <c r="J9" s="5" t="s">
        <v>188</v>
      </c>
    </row>
    <row r="10" spans="1:10" x14ac:dyDescent="0.25">
      <c r="A10" s="5" t="s">
        <v>15</v>
      </c>
      <c r="B10" s="5" t="s">
        <v>27</v>
      </c>
      <c r="C10" s="6" t="s">
        <v>189</v>
      </c>
      <c r="D10" s="5"/>
      <c r="E10" s="5" t="s">
        <v>190</v>
      </c>
      <c r="F10" s="5" t="s">
        <v>19</v>
      </c>
      <c r="G10" s="5" t="s">
        <v>191</v>
      </c>
      <c r="H10" s="5" t="s">
        <v>21</v>
      </c>
      <c r="I10" s="5" t="s">
        <v>21</v>
      </c>
      <c r="J10" s="5" t="s">
        <v>192</v>
      </c>
    </row>
  </sheetData>
  <mergeCells count="3">
    <mergeCell ref="A1:J1"/>
    <mergeCell ref="B2:J2"/>
    <mergeCell ref="B3:J3"/>
  </mergeCells>
  <dataValidations count="2">
    <dataValidation type="list" allowBlank="1" sqref="G10:I10">
      <formula1>'The scale of the projec (enum)'!A4:A6</formula1>
    </dataValidation>
    <dataValidation type="list" allowBlank="1" sqref="G8:I8">
      <formula1>'Project Status (enum)'!A4:A6</formula1>
    </dataValidation>
  </dataValidations>
  <hyperlinks>
    <hyperlink ref="C8" r:id="rId1" location="#'Project Status (enum)'!A3"/>
    <hyperlink ref="C10" r:id="rId2" location="#'The scale of the projec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277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56</v>
      </c>
      <c r="C5" s="5" t="s">
        <v>21</v>
      </c>
      <c r="D5" s="5"/>
      <c r="E5" s="5" t="s">
        <v>279</v>
      </c>
      <c r="F5" s="5" t="s">
        <v>19</v>
      </c>
      <c r="G5" s="5" t="s">
        <v>526</v>
      </c>
      <c r="H5" s="5" t="s">
        <v>21</v>
      </c>
      <c r="I5" s="5" t="s">
        <v>21</v>
      </c>
      <c r="J5" s="5" t="s">
        <v>281</v>
      </c>
    </row>
    <row r="6" spans="1:10" x14ac:dyDescent="0.25">
      <c r="A6" s="5" t="s">
        <v>15</v>
      </c>
      <c r="B6" s="5" t="s">
        <v>56</v>
      </c>
      <c r="C6" s="5" t="s">
        <v>21</v>
      </c>
      <c r="D6" s="5"/>
      <c r="E6" s="5" t="s">
        <v>282</v>
      </c>
      <c r="F6" s="5" t="s">
        <v>19</v>
      </c>
      <c r="G6" s="5" t="s">
        <v>527</v>
      </c>
      <c r="H6" s="5" t="s">
        <v>21</v>
      </c>
      <c r="I6" s="5" t="s">
        <v>21</v>
      </c>
      <c r="J6" s="5" t="s">
        <v>284</v>
      </c>
    </row>
    <row r="7" spans="1:10" x14ac:dyDescent="0.25">
      <c r="A7" s="5" t="s">
        <v>15</v>
      </c>
      <c r="B7" s="5" t="s">
        <v>56</v>
      </c>
      <c r="C7" s="5" t="s">
        <v>21</v>
      </c>
      <c r="D7" s="5"/>
      <c r="E7" s="5" t="s">
        <v>285</v>
      </c>
      <c r="F7" s="5" t="s">
        <v>19</v>
      </c>
      <c r="G7" s="5" t="s">
        <v>528</v>
      </c>
      <c r="H7" s="5" t="s">
        <v>21</v>
      </c>
      <c r="I7" s="5" t="s">
        <v>21</v>
      </c>
      <c r="J7" s="5" t="s">
        <v>287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3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529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27</v>
      </c>
      <c r="C5" s="6" t="s">
        <v>199</v>
      </c>
      <c r="D5" s="5"/>
      <c r="E5" s="5" t="s">
        <v>200</v>
      </c>
      <c r="F5" s="5" t="s">
        <v>19</v>
      </c>
      <c r="G5" s="5" t="s">
        <v>201</v>
      </c>
      <c r="H5" s="5" t="s">
        <v>21</v>
      </c>
      <c r="I5" s="5" t="s">
        <v>21</v>
      </c>
      <c r="J5" s="5" t="s">
        <v>202</v>
      </c>
    </row>
    <row r="6" spans="1:10" x14ac:dyDescent="0.25">
      <c r="A6" s="5" t="s">
        <v>19</v>
      </c>
      <c r="B6" s="6" t="s">
        <v>203</v>
      </c>
      <c r="C6" s="5" t="s">
        <v>21</v>
      </c>
      <c r="D6" s="5">
        <f>EXACT(G5,"HWT, IWT")</f>
      </c>
      <c r="E6" s="5" t="s">
        <v>204</v>
      </c>
      <c r="F6" s="5" t="s">
        <v>19</v>
      </c>
      <c r="G6" s="5" t="s">
        <v>21</v>
      </c>
      <c r="H6" s="5" t="s">
        <v>21</v>
      </c>
      <c r="I6" s="5" t="s">
        <v>21</v>
      </c>
      <c r="J6" s="5" t="s">
        <v>205</v>
      </c>
    </row>
    <row r="7" spans="1:10" x14ac:dyDescent="0.25" outlineLevel="1" collapsed="1">
      <c r="A7" s="7" t="s">
        <v>15</v>
      </c>
      <c r="B7" s="7" t="s">
        <v>27</v>
      </c>
      <c r="C7" s="8" t="s">
        <v>206</v>
      </c>
      <c r="D7" s="7"/>
      <c r="E7" s="7" t="s">
        <v>204</v>
      </c>
      <c r="F7" s="7" t="s">
        <v>19</v>
      </c>
      <c r="G7" s="7" t="s">
        <v>207</v>
      </c>
      <c r="H7" s="7" t="s">
        <v>21</v>
      </c>
      <c r="I7" s="7" t="s">
        <v>21</v>
      </c>
      <c r="J7" s="7" t="s">
        <v>208</v>
      </c>
    </row>
    <row r="8" spans="1:10" x14ac:dyDescent="0.25" outlineLevel="1" collapsed="1">
      <c r="A8" s="7" t="s">
        <v>19</v>
      </c>
      <c r="B8" s="7" t="s">
        <v>148</v>
      </c>
      <c r="C8" s="7" t="s">
        <v>21</v>
      </c>
      <c r="D8" s="7">
        <f>EXACT(G7,"Other (specify)")</f>
      </c>
      <c r="E8" s="7" t="s">
        <v>209</v>
      </c>
      <c r="F8" s="7" t="s">
        <v>19</v>
      </c>
      <c r="G8" s="7" t="s">
        <v>41</v>
      </c>
      <c r="H8" s="7" t="s">
        <v>21</v>
      </c>
      <c r="I8" s="7" t="s">
        <v>21</v>
      </c>
      <c r="J8" s="7" t="s">
        <v>210</v>
      </c>
    </row>
    <row r="9" spans="1:10" x14ac:dyDescent="0.25">
      <c r="A9" s="5" t="s">
        <v>19</v>
      </c>
      <c r="B9" s="5" t="s">
        <v>148</v>
      </c>
      <c r="C9" s="5" t="s">
        <v>21</v>
      </c>
      <c r="D9" s="5">
        <f>EXACT(G5,"HWT, IWT")</f>
      </c>
      <c r="E9" s="5" t="s">
        <v>211</v>
      </c>
      <c r="F9" s="5" t="s">
        <v>19</v>
      </c>
      <c r="G9" s="5" t="s">
        <v>41</v>
      </c>
      <c r="H9" s="5" t="s">
        <v>21</v>
      </c>
      <c r="I9" s="5" t="s">
        <v>21</v>
      </c>
      <c r="J9" s="5" t="s">
        <v>212</v>
      </c>
    </row>
    <row r="10" spans="1:10" x14ac:dyDescent="0.25">
      <c r="A10" s="5" t="s">
        <v>19</v>
      </c>
      <c r="B10" s="5" t="s">
        <v>148</v>
      </c>
      <c r="C10" s="5" t="s">
        <v>21</v>
      </c>
      <c r="D10" s="5">
        <f>EXACT(G5,"HWT, IWT")</f>
      </c>
      <c r="E10" s="5" t="s">
        <v>213</v>
      </c>
      <c r="F10" s="5" t="s">
        <v>19</v>
      </c>
      <c r="G10" s="5" t="s">
        <v>41</v>
      </c>
      <c r="H10" s="5" t="s">
        <v>21</v>
      </c>
      <c r="I10" s="5" t="s">
        <v>21</v>
      </c>
      <c r="J10" s="5" t="s">
        <v>214</v>
      </c>
    </row>
    <row r="11" spans="1:10" x14ac:dyDescent="0.25">
      <c r="A11" s="5" t="s">
        <v>19</v>
      </c>
      <c r="B11" s="5" t="s">
        <v>148</v>
      </c>
      <c r="C11" s="5" t="s">
        <v>21</v>
      </c>
      <c r="D11" s="5">
        <f>EXACT(G5,"HWT, IWT")</f>
      </c>
      <c r="E11" s="5" t="s">
        <v>215</v>
      </c>
      <c r="F11" s="5" t="s">
        <v>19</v>
      </c>
      <c r="G11" s="5" t="s">
        <v>41</v>
      </c>
      <c r="H11" s="5" t="s">
        <v>21</v>
      </c>
      <c r="I11" s="5" t="s">
        <v>21</v>
      </c>
      <c r="J11" s="5" t="s">
        <v>216</v>
      </c>
    </row>
    <row r="12" spans="1:10" x14ac:dyDescent="0.25">
      <c r="A12" s="5" t="s">
        <v>19</v>
      </c>
      <c r="B12" s="5" t="s">
        <v>148</v>
      </c>
      <c r="C12" s="5" t="s">
        <v>21</v>
      </c>
      <c r="D12" s="5">
        <f>EXACT(G5,"HWT, IWT")</f>
      </c>
      <c r="E12" s="5" t="s">
        <v>217</v>
      </c>
      <c r="F12" s="5" t="s">
        <v>19</v>
      </c>
      <c r="G12" s="5" t="s">
        <v>41</v>
      </c>
      <c r="H12" s="5" t="s">
        <v>21</v>
      </c>
      <c r="I12" s="5" t="s">
        <v>21</v>
      </c>
      <c r="J12" s="5" t="s">
        <v>218</v>
      </c>
    </row>
    <row r="13" spans="1:10" x14ac:dyDescent="0.25">
      <c r="A13" s="5" t="s">
        <v>19</v>
      </c>
      <c r="B13" s="5" t="s">
        <v>167</v>
      </c>
      <c r="C13" s="5" t="s">
        <v>21</v>
      </c>
      <c r="D13" s="5">
        <f>EXACT(G5,"HWT, IWT")</f>
      </c>
      <c r="E13" s="5" t="s">
        <v>219</v>
      </c>
      <c r="F13" s="5" t="s">
        <v>19</v>
      </c>
      <c r="G13" s="5">
        <v>1</v>
      </c>
      <c r="H13" s="5" t="s">
        <v>21</v>
      </c>
      <c r="I13" s="5" t="s">
        <v>21</v>
      </c>
      <c r="J13" s="5" t="s">
        <v>220</v>
      </c>
    </row>
    <row r="14" spans="1:10" x14ac:dyDescent="0.25">
      <c r="A14" s="5" t="s">
        <v>19</v>
      </c>
      <c r="B14" s="5" t="s">
        <v>148</v>
      </c>
      <c r="C14" s="5" t="s">
        <v>21</v>
      </c>
      <c r="D14" s="5">
        <f>EXACT(G5,"HWT, IWT")</f>
      </c>
      <c r="E14" s="5" t="s">
        <v>221</v>
      </c>
      <c r="F14" s="5" t="s">
        <v>19</v>
      </c>
      <c r="G14" s="5" t="s">
        <v>41</v>
      </c>
      <c r="H14" s="5" t="s">
        <v>21</v>
      </c>
      <c r="I14" s="5" t="s">
        <v>21</v>
      </c>
      <c r="J14" s="5" t="s">
        <v>222</v>
      </c>
    </row>
    <row r="15" spans="1:10" x14ac:dyDescent="0.25">
      <c r="A15" s="5" t="s">
        <v>19</v>
      </c>
      <c r="B15" s="5" t="s">
        <v>167</v>
      </c>
      <c r="C15" s="5" t="s">
        <v>21</v>
      </c>
      <c r="D15" s="5">
        <f>EXACT(G5,"HWT, IWT")</f>
      </c>
      <c r="E15" s="5" t="s">
        <v>223</v>
      </c>
      <c r="F15" s="5" t="s">
        <v>19</v>
      </c>
      <c r="G15" s="5">
        <v>1</v>
      </c>
      <c r="H15" s="5" t="s">
        <v>21</v>
      </c>
      <c r="I15" s="5" t="s">
        <v>21</v>
      </c>
      <c r="J15" s="5" t="s">
        <v>224</v>
      </c>
    </row>
    <row r="16" spans="1:10" x14ac:dyDescent="0.25">
      <c r="A16" s="5" t="s">
        <v>19</v>
      </c>
      <c r="B16" s="5" t="s">
        <v>167</v>
      </c>
      <c r="C16" s="5" t="s">
        <v>21</v>
      </c>
      <c r="D16" s="5">
        <f>EXACT(G5,"HWT, IWT")</f>
      </c>
      <c r="E16" s="5" t="s">
        <v>225</v>
      </c>
      <c r="F16" s="5" t="s">
        <v>19</v>
      </c>
      <c r="G16" s="5">
        <v>1</v>
      </c>
      <c r="H16" s="5" t="s">
        <v>21</v>
      </c>
      <c r="I16" s="5" t="s">
        <v>21</v>
      </c>
      <c r="J16" s="5" t="s">
        <v>226</v>
      </c>
    </row>
    <row r="17" spans="1:10" x14ac:dyDescent="0.25">
      <c r="A17" s="5" t="s">
        <v>19</v>
      </c>
      <c r="B17" s="5" t="s">
        <v>148</v>
      </c>
      <c r="C17" s="5" t="s">
        <v>21</v>
      </c>
      <c r="D17" s="5">
        <f>EXACT(G5,"HWT, IWT")</f>
      </c>
      <c r="E17" s="5" t="s">
        <v>227</v>
      </c>
      <c r="F17" s="5" t="s">
        <v>19</v>
      </c>
      <c r="G17" s="5" t="s">
        <v>41</v>
      </c>
      <c r="H17" s="5" t="s">
        <v>21</v>
      </c>
      <c r="I17" s="5" t="s">
        <v>21</v>
      </c>
      <c r="J17" s="5" t="s">
        <v>228</v>
      </c>
    </row>
    <row r="18" spans="1:10" x14ac:dyDescent="0.25">
      <c r="A18" s="5" t="s">
        <v>19</v>
      </c>
      <c r="B18" s="6" t="s">
        <v>204</v>
      </c>
      <c r="C18" s="5" t="s">
        <v>21</v>
      </c>
      <c r="D18" s="5">
        <f>EXACT(G5,"CWT, CWS")</f>
      </c>
      <c r="E18" s="5" t="s">
        <v>204</v>
      </c>
      <c r="F18" s="5" t="s">
        <v>19</v>
      </c>
      <c r="G18" s="5" t="s">
        <v>21</v>
      </c>
      <c r="H18" s="5" t="s">
        <v>21</v>
      </c>
      <c r="I18" s="5" t="s">
        <v>21</v>
      </c>
      <c r="J18" s="5" t="s">
        <v>229</v>
      </c>
    </row>
    <row r="19" spans="1:10" x14ac:dyDescent="0.25" outlineLevel="1" collapsed="1">
      <c r="A19" s="7" t="s">
        <v>15</v>
      </c>
      <c r="B19" s="7" t="s">
        <v>27</v>
      </c>
      <c r="C19" s="8" t="s">
        <v>230</v>
      </c>
      <c r="D19" s="7"/>
      <c r="E19" s="7" t="s">
        <v>204</v>
      </c>
      <c r="F19" s="7" t="s">
        <v>19</v>
      </c>
      <c r="G19" s="7" t="s">
        <v>231</v>
      </c>
      <c r="H19" s="7" t="s">
        <v>21</v>
      </c>
      <c r="I19" s="7" t="s">
        <v>21</v>
      </c>
      <c r="J19" s="7" t="s">
        <v>232</v>
      </c>
    </row>
    <row r="20" spans="1:10" x14ac:dyDescent="0.25" outlineLevel="1" collapsed="1">
      <c r="A20" s="7" t="s">
        <v>19</v>
      </c>
      <c r="B20" s="7" t="s">
        <v>148</v>
      </c>
      <c r="C20" s="7" t="s">
        <v>21</v>
      </c>
      <c r="D20" s="7">
        <f>EXACT(G19,"Other (specify)")</f>
      </c>
      <c r="E20" s="7" t="s">
        <v>209</v>
      </c>
      <c r="F20" s="7" t="s">
        <v>19</v>
      </c>
      <c r="G20" s="7" t="s">
        <v>41</v>
      </c>
      <c r="H20" s="7" t="s">
        <v>21</v>
      </c>
      <c r="I20" s="7" t="s">
        <v>21</v>
      </c>
      <c r="J20" s="7" t="s">
        <v>210</v>
      </c>
    </row>
    <row r="21" spans="1:10" x14ac:dyDescent="0.25">
      <c r="A21" s="5" t="s">
        <v>19</v>
      </c>
      <c r="B21" s="5" t="s">
        <v>148</v>
      </c>
      <c r="C21" s="5" t="s">
        <v>21</v>
      </c>
      <c r="D21" s="5">
        <f>EXACT(G5,"CWT, CWS")</f>
      </c>
      <c r="E21" s="5" t="s">
        <v>211</v>
      </c>
      <c r="F21" s="5" t="s">
        <v>19</v>
      </c>
      <c r="G21" s="5" t="s">
        <v>41</v>
      </c>
      <c r="H21" s="5" t="s">
        <v>21</v>
      </c>
      <c r="I21" s="5" t="s">
        <v>21</v>
      </c>
      <c r="J21" s="5" t="s">
        <v>233</v>
      </c>
    </row>
    <row r="22" spans="1:10" x14ac:dyDescent="0.25">
      <c r="A22" s="5" t="s">
        <v>19</v>
      </c>
      <c r="B22" s="5" t="s">
        <v>148</v>
      </c>
      <c r="C22" s="5" t="s">
        <v>21</v>
      </c>
      <c r="D22" s="5">
        <f>EXACT(G5,"CWT, CWS")</f>
      </c>
      <c r="E22" s="5" t="s">
        <v>234</v>
      </c>
      <c r="F22" s="5" t="s">
        <v>19</v>
      </c>
      <c r="G22" s="5" t="s">
        <v>41</v>
      </c>
      <c r="H22" s="5" t="s">
        <v>21</v>
      </c>
      <c r="I22" s="5" t="s">
        <v>21</v>
      </c>
      <c r="J22" s="5" t="s">
        <v>235</v>
      </c>
    </row>
    <row r="23" spans="1:10" x14ac:dyDescent="0.25">
      <c r="A23" s="5" t="s">
        <v>19</v>
      </c>
      <c r="B23" s="5" t="s">
        <v>148</v>
      </c>
      <c r="C23" s="5" t="s">
        <v>21</v>
      </c>
      <c r="D23" s="5">
        <f>EXACT(G5,"CWT, CWS")</f>
      </c>
      <c r="E23" s="5" t="s">
        <v>236</v>
      </c>
      <c r="F23" s="5" t="s">
        <v>19</v>
      </c>
      <c r="G23" s="5" t="s">
        <v>41</v>
      </c>
      <c r="H23" s="5" t="s">
        <v>21</v>
      </c>
      <c r="I23" s="5" t="s">
        <v>21</v>
      </c>
      <c r="J23" s="5" t="s">
        <v>237</v>
      </c>
    </row>
    <row r="24" spans="1:10" x14ac:dyDescent="0.25">
      <c r="A24" s="5" t="s">
        <v>19</v>
      </c>
      <c r="B24" s="5" t="s">
        <v>167</v>
      </c>
      <c r="C24" s="5" t="s">
        <v>21</v>
      </c>
      <c r="D24" s="5">
        <f>EXACT(G5,"CWT, CWS")</f>
      </c>
      <c r="E24" s="5" t="s">
        <v>238</v>
      </c>
      <c r="F24" s="5" t="s">
        <v>19</v>
      </c>
      <c r="G24" s="5">
        <v>1</v>
      </c>
      <c r="H24" s="5" t="s">
        <v>21</v>
      </c>
      <c r="I24" s="5" t="s">
        <v>21</v>
      </c>
      <c r="J24" s="5" t="s">
        <v>239</v>
      </c>
    </row>
    <row r="25" spans="1:10" x14ac:dyDescent="0.25">
      <c r="A25" s="5" t="s">
        <v>19</v>
      </c>
      <c r="B25" s="5" t="s">
        <v>167</v>
      </c>
      <c r="C25" s="5" t="s">
        <v>21</v>
      </c>
      <c r="D25" s="5">
        <f>EXACT(G5,"CWT, CWS")</f>
      </c>
      <c r="E25" s="5" t="s">
        <v>240</v>
      </c>
      <c r="F25" s="5" t="s">
        <v>19</v>
      </c>
      <c r="G25" s="5">
        <v>1</v>
      </c>
      <c r="H25" s="5" t="s">
        <v>21</v>
      </c>
      <c r="I25" s="5" t="s">
        <v>21</v>
      </c>
      <c r="J25" s="5" t="s">
        <v>241</v>
      </c>
    </row>
    <row r="26" spans="1:10" x14ac:dyDescent="0.25">
      <c r="A26" s="5" t="s">
        <v>19</v>
      </c>
      <c r="B26" s="5" t="s">
        <v>148</v>
      </c>
      <c r="C26" s="5" t="s">
        <v>21</v>
      </c>
      <c r="D26" s="5">
        <f>EXACT(G5,"CWT, CWS")</f>
      </c>
      <c r="E26" s="5" t="s">
        <v>215</v>
      </c>
      <c r="F26" s="5" t="s">
        <v>19</v>
      </c>
      <c r="G26" s="5" t="s">
        <v>41</v>
      </c>
      <c r="H26" s="5" t="s">
        <v>21</v>
      </c>
      <c r="I26" s="5" t="s">
        <v>21</v>
      </c>
      <c r="J26" s="5" t="s">
        <v>242</v>
      </c>
    </row>
    <row r="27" spans="1:10" x14ac:dyDescent="0.25">
      <c r="A27" s="5" t="s">
        <v>19</v>
      </c>
      <c r="B27" s="5" t="s">
        <v>148</v>
      </c>
      <c r="C27" s="5" t="s">
        <v>21</v>
      </c>
      <c r="D27" s="5">
        <f>EXACT(G5,"CWT, CWS")</f>
      </c>
      <c r="E27" s="5" t="s">
        <v>217</v>
      </c>
      <c r="F27" s="5" t="s">
        <v>19</v>
      </c>
      <c r="G27" s="5" t="s">
        <v>41</v>
      </c>
      <c r="H27" s="5" t="s">
        <v>21</v>
      </c>
      <c r="I27" s="5" t="s">
        <v>21</v>
      </c>
      <c r="J27" s="5" t="s">
        <v>243</v>
      </c>
    </row>
    <row r="28" spans="1:10" x14ac:dyDescent="0.25">
      <c r="A28" s="5" t="s">
        <v>19</v>
      </c>
      <c r="B28" s="5" t="s">
        <v>148</v>
      </c>
      <c r="C28" s="5" t="s">
        <v>21</v>
      </c>
      <c r="D28" s="5">
        <f>EXACT(G5,"CWT, CWS")</f>
      </c>
      <c r="E28" s="5" t="s">
        <v>244</v>
      </c>
      <c r="F28" s="5" t="s">
        <v>19</v>
      </c>
      <c r="G28" s="5" t="s">
        <v>41</v>
      </c>
      <c r="H28" s="5" t="s">
        <v>21</v>
      </c>
      <c r="I28" s="5" t="s">
        <v>21</v>
      </c>
      <c r="J28" s="5" t="s">
        <v>245</v>
      </c>
    </row>
    <row r="29" spans="1:10" x14ac:dyDescent="0.25">
      <c r="A29" s="5" t="s">
        <v>19</v>
      </c>
      <c r="B29" s="5" t="s">
        <v>246</v>
      </c>
      <c r="C29" s="5" t="s">
        <v>21</v>
      </c>
      <c r="D29" s="5">
        <f>EXACT(G5,"CWT, CWS")</f>
      </c>
      <c r="E29" s="5" t="s">
        <v>247</v>
      </c>
      <c r="F29" s="5" t="s">
        <v>19</v>
      </c>
      <c r="G29" s="5" t="b">
        <v>1</v>
      </c>
      <c r="H29" s="5" t="s">
        <v>21</v>
      </c>
      <c r="I29" s="5" t="s">
        <v>21</v>
      </c>
      <c r="J29" s="5" t="s">
        <v>248</v>
      </c>
    </row>
    <row r="30" spans="1:10" x14ac:dyDescent="0.25">
      <c r="A30" s="5" t="s">
        <v>19</v>
      </c>
      <c r="B30" s="5" t="s">
        <v>148</v>
      </c>
      <c r="C30" s="5" t="s">
        <v>21</v>
      </c>
      <c r="D30" s="5">
        <f>EXACT(G5,"CWT, CWS")</f>
      </c>
      <c r="E30" s="5" t="s">
        <v>115</v>
      </c>
      <c r="F30" s="5" t="s">
        <v>19</v>
      </c>
      <c r="G30" s="5" t="s">
        <v>41</v>
      </c>
      <c r="H30" s="5" t="s">
        <v>21</v>
      </c>
      <c r="I30" s="5" t="s">
        <v>21</v>
      </c>
      <c r="J30" s="5" t="s">
        <v>249</v>
      </c>
    </row>
    <row r="31" spans="1:10" x14ac:dyDescent="0.25">
      <c r="A31" s="5" t="s">
        <v>19</v>
      </c>
      <c r="B31" s="5" t="s">
        <v>148</v>
      </c>
      <c r="C31" s="5" t="s">
        <v>21</v>
      </c>
      <c r="D31" s="5">
        <f>EXACT(G5,"CWT, CWS")</f>
      </c>
      <c r="E31" s="5" t="s">
        <v>250</v>
      </c>
      <c r="F31" s="5" t="s">
        <v>19</v>
      </c>
      <c r="G31" s="5" t="s">
        <v>41</v>
      </c>
      <c r="H31" s="5" t="s">
        <v>21</v>
      </c>
      <c r="I31" s="5" t="s">
        <v>21</v>
      </c>
      <c r="J31" s="5" t="s">
        <v>251</v>
      </c>
    </row>
    <row r="32" spans="1:10" x14ac:dyDescent="0.25">
      <c r="A32" s="5" t="s">
        <v>19</v>
      </c>
      <c r="B32" s="5" t="s">
        <v>56</v>
      </c>
      <c r="C32" s="5" t="s">
        <v>21</v>
      </c>
      <c r="D32" s="5">
        <f>EXACT(G5,"CWT, CWS")</f>
      </c>
      <c r="E32" s="5" t="s">
        <v>252</v>
      </c>
      <c r="F32" s="5" t="s">
        <v>19</v>
      </c>
      <c r="G32" s="5" t="s">
        <v>530</v>
      </c>
      <c r="H32" s="5" t="s">
        <v>21</v>
      </c>
      <c r="I32" s="5" t="s">
        <v>21</v>
      </c>
      <c r="J32" s="5" t="s">
        <v>254</v>
      </c>
    </row>
    <row r="33" spans="1:10" x14ac:dyDescent="0.25">
      <c r="A33" s="5" t="s">
        <v>19</v>
      </c>
      <c r="B33" s="6" t="s">
        <v>255</v>
      </c>
      <c r="C33" s="5" t="s">
        <v>21</v>
      </c>
      <c r="D33" s="5">
        <f>EXACT(G5,"CWT, CWS")</f>
      </c>
      <c r="E33" s="5" t="s">
        <v>256</v>
      </c>
      <c r="F33" s="5" t="s">
        <v>19</v>
      </c>
      <c r="G33" s="5" t="s">
        <v>21</v>
      </c>
      <c r="H33" s="5" t="s">
        <v>21</v>
      </c>
      <c r="I33" s="5" t="s">
        <v>21</v>
      </c>
      <c r="J33" s="5" t="s">
        <v>257</v>
      </c>
    </row>
    <row r="34" spans="1:10" x14ac:dyDescent="0.25" outlineLevel="1" collapsed="1">
      <c r="A34" s="7" t="s">
        <v>15</v>
      </c>
      <c r="B34" s="7" t="s">
        <v>246</v>
      </c>
      <c r="C34" s="7" t="s">
        <v>21</v>
      </c>
      <c r="D34" s="7"/>
      <c r="E34" s="7" t="s">
        <v>258</v>
      </c>
      <c r="F34" s="7" t="s">
        <v>19</v>
      </c>
      <c r="G34" s="7" t="b">
        <v>1</v>
      </c>
      <c r="H34" s="7" t="s">
        <v>21</v>
      </c>
      <c r="I34" s="7" t="s">
        <v>21</v>
      </c>
      <c r="J34" s="7" t="s">
        <v>259</v>
      </c>
    </row>
    <row r="35" spans="1:10" x14ac:dyDescent="0.25" outlineLevel="1" collapsed="1">
      <c r="A35" s="7" t="s">
        <v>19</v>
      </c>
      <c r="B35" s="7" t="s">
        <v>175</v>
      </c>
      <c r="C35" s="7" t="s">
        <v>21</v>
      </c>
      <c r="D35" s="7">
        <f>EXACT(G34,true)</f>
      </c>
      <c r="E35" s="7" t="s">
        <v>260</v>
      </c>
      <c r="F35" s="7" t="s">
        <v>19</v>
      </c>
      <c r="G35" s="7" t="s">
        <v>177</v>
      </c>
      <c r="H35" s="7" t="s">
        <v>21</v>
      </c>
      <c r="I35" s="7" t="s">
        <v>21</v>
      </c>
      <c r="J35" s="7" t="s">
        <v>261</v>
      </c>
    </row>
    <row r="36" spans="1:10" x14ac:dyDescent="0.25" outlineLevel="1" collapsed="1">
      <c r="A36" s="7" t="s">
        <v>19</v>
      </c>
      <c r="B36" s="7" t="s">
        <v>16</v>
      </c>
      <c r="C36" s="7" t="s">
        <v>262</v>
      </c>
      <c r="D36" s="7">
        <f>EXACT(G34,true)</f>
      </c>
      <c r="E36" s="7" t="s">
        <v>263</v>
      </c>
      <c r="F36" s="7" t="s">
        <v>19</v>
      </c>
      <c r="G36" s="7" t="s">
        <v>531</v>
      </c>
      <c r="H36" s="7" t="s">
        <v>21</v>
      </c>
      <c r="I36" s="7" t="s">
        <v>21</v>
      </c>
      <c r="J36" s="7" t="s">
        <v>265</v>
      </c>
    </row>
    <row r="37" spans="1:10" x14ac:dyDescent="0.25" outlineLevel="1" collapsed="1">
      <c r="A37" s="7" t="s">
        <v>19</v>
      </c>
      <c r="B37" s="7" t="s">
        <v>175</v>
      </c>
      <c r="C37" s="7" t="s">
        <v>21</v>
      </c>
      <c r="D37" s="7">
        <f>EXACT(G34,true)</f>
      </c>
      <c r="E37" s="7" t="s">
        <v>266</v>
      </c>
      <c r="F37" s="7" t="s">
        <v>19</v>
      </c>
      <c r="G37" s="7" t="s">
        <v>177</v>
      </c>
      <c r="H37" s="7" t="s">
        <v>21</v>
      </c>
      <c r="I37" s="7" t="s">
        <v>21</v>
      </c>
      <c r="J37" s="7" t="s">
        <v>267</v>
      </c>
    </row>
    <row r="38" spans="1:10" x14ac:dyDescent="0.25" outlineLevel="1" collapsed="1">
      <c r="A38" s="7" t="s">
        <v>19</v>
      </c>
      <c r="B38" s="7" t="s">
        <v>56</v>
      </c>
      <c r="C38" s="7" t="s">
        <v>21</v>
      </c>
      <c r="D38" s="7">
        <f>EXACT(G34,true)</f>
      </c>
      <c r="E38" s="7" t="s">
        <v>268</v>
      </c>
      <c r="F38" s="7" t="s">
        <v>19</v>
      </c>
      <c r="G38" s="7" t="s">
        <v>532</v>
      </c>
      <c r="H38" s="7" t="s">
        <v>21</v>
      </c>
      <c r="I38" s="7" t="s">
        <v>21</v>
      </c>
      <c r="J38" s="7" t="s">
        <v>270</v>
      </c>
    </row>
    <row r="39" spans="1:10" x14ac:dyDescent="0.25" outlineLevel="1" collapsed="1">
      <c r="A39" s="7" t="s">
        <v>19</v>
      </c>
      <c r="B39" s="7" t="s">
        <v>56</v>
      </c>
      <c r="C39" s="7" t="s">
        <v>21</v>
      </c>
      <c r="D39" s="7">
        <f>EXACT(G34,true)</f>
      </c>
      <c r="E39" s="7" t="s">
        <v>271</v>
      </c>
      <c r="F39" s="7" t="s">
        <v>19</v>
      </c>
      <c r="G39" s="7" t="s">
        <v>533</v>
      </c>
      <c r="H39" s="7" t="s">
        <v>21</v>
      </c>
      <c r="I39" s="7" t="s">
        <v>21</v>
      </c>
      <c r="J39" s="7" t="s">
        <v>273</v>
      </c>
    </row>
  </sheetData>
  <mergeCells count="3">
    <mergeCell ref="A1:J1"/>
    <mergeCell ref="B2:J2"/>
    <mergeCell ref="B3:J3"/>
  </mergeCells>
  <dataValidations count="3">
    <dataValidation type="list" allowBlank="1" sqref="G19:I19">
      <formula1>'Treatment Technology Su (enum)'!A4:A9</formula1>
    </dataValidation>
    <dataValidation type="list" allowBlank="1" sqref="G5:I5">
      <formula1>'Treatment Technology Ca (enum)'!A4:A5</formula1>
    </dataValidation>
    <dataValidation type="list" allowBlank="1" sqref="G7:I7">
      <formula1>'Treatment Technology 2 (enum)'!A4:A9</formula1>
    </dataValidation>
  </dataValidations>
  <hyperlinks>
    <hyperlink ref="C5" r:id="rId1" location="#'Treatment Technology Ca (enum)'!A3"/>
    <hyperlink ref="B6" r:id="rId2" location="#'Treatment Technology Sub-ty 2'!A1"/>
    <hyperlink ref="C7" r:id="rId3" location="#'Treatment Technology 2 (enum)'!A3"/>
    <hyperlink ref="B18" r:id="rId4" location="#'Treatment Technology Sub-type'!A1"/>
    <hyperlink ref="C19" r:id="rId5" location="#'Treatment Technology Su (enum)'!A3"/>
    <hyperlink ref="B33" r:id="rId6" location="#'If the Project Installation i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534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27</v>
      </c>
      <c r="C5" s="6" t="s">
        <v>230</v>
      </c>
      <c r="D5" s="5"/>
      <c r="E5" s="5" t="s">
        <v>204</v>
      </c>
      <c r="F5" s="5" t="s">
        <v>19</v>
      </c>
      <c r="G5" s="5" t="s">
        <v>231</v>
      </c>
      <c r="H5" s="5" t="s">
        <v>21</v>
      </c>
      <c r="I5" s="5" t="s">
        <v>21</v>
      </c>
      <c r="J5" s="5" t="s">
        <v>232</v>
      </c>
    </row>
    <row r="6" spans="1:10" x14ac:dyDescent="0.25">
      <c r="A6" s="5" t="s">
        <v>19</v>
      </c>
      <c r="B6" s="5" t="s">
        <v>148</v>
      </c>
      <c r="C6" s="5" t="s">
        <v>21</v>
      </c>
      <c r="D6" s="5">
        <f>EXACT(G5,"Other (specify)")</f>
      </c>
      <c r="E6" s="5" t="s">
        <v>209</v>
      </c>
      <c r="F6" s="5" t="s">
        <v>19</v>
      </c>
      <c r="G6" s="5" t="s">
        <v>41</v>
      </c>
      <c r="H6" s="5" t="s">
        <v>21</v>
      </c>
      <c r="I6" s="5" t="s">
        <v>21</v>
      </c>
      <c r="J6" s="5" t="s">
        <v>210</v>
      </c>
    </row>
  </sheetData>
  <mergeCells count="3">
    <mergeCell ref="A1:J1"/>
    <mergeCell ref="B2:J2"/>
    <mergeCell ref="B3:J3"/>
  </mergeCells>
  <dataValidations count="1">
    <dataValidation type="list" allowBlank="1" sqref="G5:I5">
      <formula1>'Treatment Technology Su (enum)'!A4:A9</formula1>
    </dataValidation>
  </dataValidations>
  <hyperlinks>
    <hyperlink ref="C5" r:id="rId1" location="#'Treatment Technology Su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535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27</v>
      </c>
      <c r="C5" s="6" t="s">
        <v>206</v>
      </c>
      <c r="D5" s="5"/>
      <c r="E5" s="5" t="s">
        <v>204</v>
      </c>
      <c r="F5" s="5" t="s">
        <v>19</v>
      </c>
      <c r="G5" s="5" t="s">
        <v>207</v>
      </c>
      <c r="H5" s="5" t="s">
        <v>21</v>
      </c>
      <c r="I5" s="5" t="s">
        <v>21</v>
      </c>
      <c r="J5" s="5" t="s">
        <v>208</v>
      </c>
    </row>
    <row r="6" spans="1:10" x14ac:dyDescent="0.25">
      <c r="A6" s="5" t="s">
        <v>19</v>
      </c>
      <c r="B6" s="5" t="s">
        <v>148</v>
      </c>
      <c r="C6" s="5" t="s">
        <v>21</v>
      </c>
      <c r="D6" s="5">
        <f>EXACT(G5,"Other (specify)")</f>
      </c>
      <c r="E6" s="5" t="s">
        <v>209</v>
      </c>
      <c r="F6" s="5" t="s">
        <v>19</v>
      </c>
      <c r="G6" s="5" t="s">
        <v>41</v>
      </c>
      <c r="H6" s="5" t="s">
        <v>21</v>
      </c>
      <c r="I6" s="5" t="s">
        <v>21</v>
      </c>
      <c r="J6" s="5" t="s">
        <v>210</v>
      </c>
    </row>
  </sheetData>
  <mergeCells count="3">
    <mergeCell ref="A1:J1"/>
    <mergeCell ref="B2:J2"/>
    <mergeCell ref="B3:J3"/>
  </mergeCells>
  <dataValidations count="1">
    <dataValidation type="list" allowBlank="1" sqref="G5:I5">
      <formula1>'Treatment Technology 2 (enum)'!A4:A9</formula1>
    </dataValidation>
  </dataValidations>
  <hyperlinks>
    <hyperlink ref="C5" r:id="rId1" location="#'Treatment Technology 2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289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19</v>
      </c>
      <c r="B5" s="5" t="s">
        <v>148</v>
      </c>
      <c r="C5" s="5" t="s">
        <v>21</v>
      </c>
      <c r="D5" s="5"/>
      <c r="E5" s="5" t="s">
        <v>292</v>
      </c>
      <c r="F5" s="5" t="s">
        <v>19</v>
      </c>
      <c r="G5" s="5" t="s">
        <v>41</v>
      </c>
      <c r="H5" s="5" t="s">
        <v>21</v>
      </c>
      <c r="I5" s="5" t="s">
        <v>21</v>
      </c>
      <c r="J5" s="5" t="s">
        <v>198</v>
      </c>
    </row>
    <row r="6" spans="1:10" x14ac:dyDescent="0.25">
      <c r="A6" s="5" t="s">
        <v>15</v>
      </c>
      <c r="B6" s="5" t="s">
        <v>175</v>
      </c>
      <c r="C6" s="5" t="s">
        <v>21</v>
      </c>
      <c r="D6" s="5"/>
      <c r="E6" s="5" t="s">
        <v>293</v>
      </c>
      <c r="F6" s="5" t="s">
        <v>19</v>
      </c>
      <c r="G6" s="5" t="s">
        <v>177</v>
      </c>
      <c r="H6" s="5" t="s">
        <v>21</v>
      </c>
      <c r="I6" s="5" t="s">
        <v>21</v>
      </c>
      <c r="J6" s="5" t="s">
        <v>294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333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536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148</v>
      </c>
      <c r="C5" s="5" t="s">
        <v>21</v>
      </c>
      <c r="D5" s="5"/>
      <c r="E5" s="5" t="s">
        <v>337</v>
      </c>
      <c r="F5" s="5" t="s">
        <v>19</v>
      </c>
      <c r="G5" s="5" t="s">
        <v>338</v>
      </c>
      <c r="H5" s="5" t="s">
        <v>21</v>
      </c>
      <c r="I5" s="5" t="s">
        <v>21</v>
      </c>
      <c r="J5" s="5" t="s">
        <v>336</v>
      </c>
    </row>
    <row r="6" spans="1:10" x14ac:dyDescent="0.25">
      <c r="A6" s="5" t="s">
        <v>15</v>
      </c>
      <c r="B6" s="5" t="s">
        <v>148</v>
      </c>
      <c r="C6" s="5" t="s">
        <v>21</v>
      </c>
      <c r="D6" s="5"/>
      <c r="E6" s="5" t="s">
        <v>339</v>
      </c>
      <c r="F6" s="5" t="s">
        <v>19</v>
      </c>
      <c r="G6" s="5" t="s">
        <v>340</v>
      </c>
      <c r="H6" s="5" t="s">
        <v>21</v>
      </c>
      <c r="I6" s="5" t="s">
        <v>21</v>
      </c>
      <c r="J6" s="5" t="s">
        <v>341</v>
      </c>
    </row>
    <row r="7" spans="1:10" x14ac:dyDescent="0.25">
      <c r="A7" s="5" t="s">
        <v>15</v>
      </c>
      <c r="B7" s="5" t="s">
        <v>148</v>
      </c>
      <c r="C7" s="5" t="s">
        <v>21</v>
      </c>
      <c r="D7" s="5"/>
      <c r="E7" s="5" t="s">
        <v>342</v>
      </c>
      <c r="F7" s="5" t="s">
        <v>19</v>
      </c>
      <c r="G7" s="5" t="s">
        <v>343</v>
      </c>
      <c r="H7" s="5" t="s">
        <v>21</v>
      </c>
      <c r="I7" s="5" t="s">
        <v>21</v>
      </c>
      <c r="J7" s="5" t="s">
        <v>344</v>
      </c>
    </row>
    <row r="8" spans="1:10" x14ac:dyDescent="0.25">
      <c r="A8" s="5" t="s">
        <v>19</v>
      </c>
      <c r="B8" s="5" t="s">
        <v>56</v>
      </c>
      <c r="C8" s="5" t="s">
        <v>21</v>
      </c>
      <c r="D8" s="5"/>
      <c r="E8" s="5" t="s">
        <v>345</v>
      </c>
      <c r="F8" s="5" t="s">
        <v>19</v>
      </c>
      <c r="G8" s="5" t="s">
        <v>346</v>
      </c>
      <c r="H8" s="5" t="s">
        <v>21</v>
      </c>
      <c r="I8" s="5" t="s">
        <v>21</v>
      </c>
      <c r="J8" s="5" t="s">
        <v>347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378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537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167</v>
      </c>
      <c r="C5" s="5" t="s">
        <v>21</v>
      </c>
      <c r="D5" s="5"/>
      <c r="E5" s="5" t="s">
        <v>380</v>
      </c>
      <c r="F5" s="5" t="s">
        <v>19</v>
      </c>
      <c r="G5" s="5">
        <v>5000</v>
      </c>
      <c r="H5" s="5" t="s">
        <v>21</v>
      </c>
      <c r="I5" s="5" t="s">
        <v>21</v>
      </c>
      <c r="J5" s="5" t="s">
        <v>381</v>
      </c>
    </row>
    <row r="6" spans="1:10" x14ac:dyDescent="0.25">
      <c r="A6" s="5" t="s">
        <v>15</v>
      </c>
      <c r="B6" s="5" t="s">
        <v>167</v>
      </c>
      <c r="C6" s="5" t="s">
        <v>21</v>
      </c>
      <c r="D6" s="5"/>
      <c r="E6" s="5" t="s">
        <v>382</v>
      </c>
      <c r="F6" s="5" t="s">
        <v>19</v>
      </c>
      <c r="G6" s="5">
        <v>200</v>
      </c>
      <c r="H6" s="5" t="s">
        <v>21</v>
      </c>
      <c r="I6" s="5" t="s">
        <v>21</v>
      </c>
      <c r="J6" s="5" t="s">
        <v>383</v>
      </c>
    </row>
    <row r="7" spans="1:10" x14ac:dyDescent="0.25">
      <c r="A7" s="5" t="s">
        <v>15</v>
      </c>
      <c r="B7" s="5" t="s">
        <v>167</v>
      </c>
      <c r="C7" s="5" t="s">
        <v>21</v>
      </c>
      <c r="D7" s="5"/>
      <c r="E7" s="5" t="s">
        <v>384</v>
      </c>
      <c r="F7" s="5" t="s">
        <v>19</v>
      </c>
      <c r="G7" s="5">
        <v>50</v>
      </c>
      <c r="H7" s="5" t="s">
        <v>21</v>
      </c>
      <c r="I7" s="5" t="s">
        <v>21</v>
      </c>
      <c r="J7" s="5" t="s">
        <v>385</v>
      </c>
    </row>
    <row r="8" spans="1:10" x14ac:dyDescent="0.25">
      <c r="A8" s="5" t="s">
        <v>19</v>
      </c>
      <c r="B8" s="5" t="s">
        <v>167</v>
      </c>
      <c r="C8" s="5" t="s">
        <v>21</v>
      </c>
      <c r="D8" s="5" t="s">
        <v>386</v>
      </c>
      <c r="E8" s="5" t="s">
        <v>387</v>
      </c>
      <c r="F8" s="5" t="s">
        <v>19</v>
      </c>
      <c r="G8" s="5">
        <v>4750</v>
      </c>
      <c r="H8" s="5" t="s">
        <v>21</v>
      </c>
      <c r="I8" s="5" t="s">
        <v>21</v>
      </c>
      <c r="J8" s="5" t="s">
        <v>388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352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538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148</v>
      </c>
      <c r="C5" s="5" t="s">
        <v>21</v>
      </c>
      <c r="D5" s="5"/>
      <c r="E5" s="5" t="s">
        <v>355</v>
      </c>
      <c r="F5" s="5" t="s">
        <v>19</v>
      </c>
      <c r="G5" s="5" t="s">
        <v>41</v>
      </c>
      <c r="H5" s="5" t="s">
        <v>21</v>
      </c>
      <c r="I5" s="5" t="s">
        <v>21</v>
      </c>
      <c r="J5" s="5" t="s">
        <v>356</v>
      </c>
    </row>
    <row r="6" spans="1:10" x14ac:dyDescent="0.25">
      <c r="A6" s="5" t="s">
        <v>15</v>
      </c>
      <c r="B6" s="5" t="s">
        <v>27</v>
      </c>
      <c r="C6" s="6" t="s">
        <v>357</v>
      </c>
      <c r="D6" s="5"/>
      <c r="E6" s="5" t="s">
        <v>358</v>
      </c>
      <c r="F6" s="5" t="s">
        <v>19</v>
      </c>
      <c r="G6" s="5" t="s">
        <v>359</v>
      </c>
      <c r="H6" s="5" t="s">
        <v>21</v>
      </c>
      <c r="I6" s="5" t="s">
        <v>21</v>
      </c>
      <c r="J6" s="5" t="s">
        <v>360</v>
      </c>
    </row>
    <row r="7" spans="1:10" x14ac:dyDescent="0.25">
      <c r="A7" s="5" t="s">
        <v>15</v>
      </c>
      <c r="B7" s="5" t="s">
        <v>56</v>
      </c>
      <c r="C7" s="5" t="s">
        <v>21</v>
      </c>
      <c r="D7" s="5"/>
      <c r="E7" s="5" t="s">
        <v>361</v>
      </c>
      <c r="F7" s="5" t="s">
        <v>19</v>
      </c>
      <c r="G7" s="5" t="s">
        <v>539</v>
      </c>
      <c r="H7" s="5" t="s">
        <v>21</v>
      </c>
      <c r="I7" s="5" t="s">
        <v>21</v>
      </c>
      <c r="J7" s="5" t="s">
        <v>363</v>
      </c>
    </row>
    <row r="8" spans="1:10" x14ac:dyDescent="0.25">
      <c r="A8" s="5" t="s">
        <v>15</v>
      </c>
      <c r="B8" s="5" t="s">
        <v>56</v>
      </c>
      <c r="C8" s="5" t="s">
        <v>21</v>
      </c>
      <c r="D8" s="5"/>
      <c r="E8" s="5" t="s">
        <v>364</v>
      </c>
      <c r="F8" s="5" t="s">
        <v>19</v>
      </c>
      <c r="G8" s="5" t="s">
        <v>540</v>
      </c>
      <c r="H8" s="5" t="s">
        <v>21</v>
      </c>
      <c r="I8" s="5" t="s">
        <v>21</v>
      </c>
      <c r="J8" s="5" t="s">
        <v>366</v>
      </c>
    </row>
    <row r="9" spans="1:10" x14ac:dyDescent="0.25">
      <c r="A9" s="5" t="s">
        <v>15</v>
      </c>
      <c r="B9" s="5" t="s">
        <v>56</v>
      </c>
      <c r="C9" s="5" t="s">
        <v>21</v>
      </c>
      <c r="D9" s="5"/>
      <c r="E9" s="5" t="s">
        <v>367</v>
      </c>
      <c r="F9" s="5" t="s">
        <v>19</v>
      </c>
      <c r="G9" s="5" t="s">
        <v>541</v>
      </c>
      <c r="H9" s="5" t="s">
        <v>21</v>
      </c>
      <c r="I9" s="5" t="s">
        <v>21</v>
      </c>
      <c r="J9" s="5" t="s">
        <v>369</v>
      </c>
    </row>
    <row r="10" spans="1:10" x14ac:dyDescent="0.25">
      <c r="A10" s="5" t="s">
        <v>15</v>
      </c>
      <c r="B10" s="5" t="s">
        <v>27</v>
      </c>
      <c r="C10" s="6" t="s">
        <v>370</v>
      </c>
      <c r="D10" s="5"/>
      <c r="E10" s="5" t="s">
        <v>371</v>
      </c>
      <c r="F10" s="5" t="s">
        <v>19</v>
      </c>
      <c r="G10" s="5" t="s">
        <v>372</v>
      </c>
      <c r="H10" s="5" t="s">
        <v>21</v>
      </c>
      <c r="I10" s="5" t="s">
        <v>21</v>
      </c>
      <c r="J10" s="5" t="s">
        <v>373</v>
      </c>
    </row>
    <row r="11" spans="1:10" x14ac:dyDescent="0.25">
      <c r="A11" s="5" t="s">
        <v>19</v>
      </c>
      <c r="B11" s="5" t="s">
        <v>148</v>
      </c>
      <c r="C11" s="5" t="s">
        <v>21</v>
      </c>
      <c r="D11" s="5">
        <f>EXACT(G10,"Other")</f>
      </c>
      <c r="E11" s="5" t="s">
        <v>374</v>
      </c>
      <c r="F11" s="5" t="s">
        <v>19</v>
      </c>
      <c r="G11" s="5" t="s">
        <v>41</v>
      </c>
      <c r="H11" s="5" t="s">
        <v>21</v>
      </c>
      <c r="I11" s="5" t="s">
        <v>21</v>
      </c>
      <c r="J11" s="5" t="s">
        <v>198</v>
      </c>
    </row>
    <row r="12" spans="1:10" x14ac:dyDescent="0.25">
      <c r="A12" s="5" t="s">
        <v>19</v>
      </c>
      <c r="B12" s="5" t="s">
        <v>56</v>
      </c>
      <c r="C12" s="5" t="s">
        <v>21</v>
      </c>
      <c r="D12" s="5"/>
      <c r="E12" s="5" t="s">
        <v>375</v>
      </c>
      <c r="F12" s="5" t="s">
        <v>19</v>
      </c>
      <c r="G12" s="5" t="s">
        <v>542</v>
      </c>
      <c r="H12" s="5" t="s">
        <v>21</v>
      </c>
      <c r="I12" s="5" t="s">
        <v>21</v>
      </c>
      <c r="J12" s="5" t="s">
        <v>377</v>
      </c>
    </row>
  </sheetData>
  <mergeCells count="3">
    <mergeCell ref="A1:J1"/>
    <mergeCell ref="B2:J2"/>
    <mergeCell ref="B3:J3"/>
  </mergeCells>
  <dataValidations count="2">
    <dataValidation type="list" allowBlank="1" sqref="G10:I10">
      <formula1>'Baseline treatment meth (enum)'!A4:A6</formula1>
    </dataValidation>
    <dataValidation type="list" allowBlank="1" sqref="G6:I6">
      <formula1>'Water source classifica (enum)'!A4:A5</formula1>
    </dataValidation>
  </dataValidations>
  <hyperlinks>
    <hyperlink ref="C6" r:id="rId1" location="#'Water source classifica (enum)'!A3"/>
    <hyperlink ref="C10" r:id="rId2" location="#'Baseline treatment meth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349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352</v>
      </c>
      <c r="C5" s="5" t="s">
        <v>21</v>
      </c>
      <c r="D5" s="5"/>
      <c r="E5" s="5" t="s">
        <v>353</v>
      </c>
      <c r="F5" s="5" t="s">
        <v>19</v>
      </c>
      <c r="G5" s="5" t="s">
        <v>21</v>
      </c>
      <c r="H5" s="5" t="s">
        <v>21</v>
      </c>
      <c r="I5" s="5" t="s">
        <v>21</v>
      </c>
      <c r="J5" s="5" t="s">
        <v>354</v>
      </c>
    </row>
    <row r="6" spans="1:10" x14ac:dyDescent="0.25" outlineLevel="1" collapsed="1">
      <c r="A6" s="7" t="s">
        <v>15</v>
      </c>
      <c r="B6" s="7" t="s">
        <v>148</v>
      </c>
      <c r="C6" s="7" t="s">
        <v>21</v>
      </c>
      <c r="D6" s="7"/>
      <c r="E6" s="7" t="s">
        <v>355</v>
      </c>
      <c r="F6" s="7" t="s">
        <v>19</v>
      </c>
      <c r="G6" s="7" t="s">
        <v>41</v>
      </c>
      <c r="H6" s="7" t="s">
        <v>21</v>
      </c>
      <c r="I6" s="7" t="s">
        <v>21</v>
      </c>
      <c r="J6" s="7" t="s">
        <v>356</v>
      </c>
    </row>
    <row r="7" spans="1:10" x14ac:dyDescent="0.25" outlineLevel="1" collapsed="1">
      <c r="A7" s="7" t="s">
        <v>15</v>
      </c>
      <c r="B7" s="7" t="s">
        <v>27</v>
      </c>
      <c r="C7" s="8" t="s">
        <v>357</v>
      </c>
      <c r="D7" s="7"/>
      <c r="E7" s="7" t="s">
        <v>358</v>
      </c>
      <c r="F7" s="7" t="s">
        <v>19</v>
      </c>
      <c r="G7" s="7" t="s">
        <v>359</v>
      </c>
      <c r="H7" s="7" t="s">
        <v>21</v>
      </c>
      <c r="I7" s="7" t="s">
        <v>21</v>
      </c>
      <c r="J7" s="7" t="s">
        <v>360</v>
      </c>
    </row>
    <row r="8" spans="1:10" x14ac:dyDescent="0.25" outlineLevel="1" collapsed="1">
      <c r="A8" s="7" t="s">
        <v>15</v>
      </c>
      <c r="B8" s="7" t="s">
        <v>56</v>
      </c>
      <c r="C8" s="7" t="s">
        <v>21</v>
      </c>
      <c r="D8" s="7"/>
      <c r="E8" s="7" t="s">
        <v>361</v>
      </c>
      <c r="F8" s="7" t="s">
        <v>19</v>
      </c>
      <c r="G8" s="7" t="s">
        <v>543</v>
      </c>
      <c r="H8" s="7" t="s">
        <v>21</v>
      </c>
      <c r="I8" s="7" t="s">
        <v>21</v>
      </c>
      <c r="J8" s="7" t="s">
        <v>363</v>
      </c>
    </row>
    <row r="9" spans="1:10" x14ac:dyDescent="0.25" outlineLevel="1" collapsed="1">
      <c r="A9" s="7" t="s">
        <v>15</v>
      </c>
      <c r="B9" s="7" t="s">
        <v>56</v>
      </c>
      <c r="C9" s="7" t="s">
        <v>21</v>
      </c>
      <c r="D9" s="7"/>
      <c r="E9" s="7" t="s">
        <v>364</v>
      </c>
      <c r="F9" s="7" t="s">
        <v>19</v>
      </c>
      <c r="G9" s="7" t="s">
        <v>544</v>
      </c>
      <c r="H9" s="7" t="s">
        <v>21</v>
      </c>
      <c r="I9" s="7" t="s">
        <v>21</v>
      </c>
      <c r="J9" s="7" t="s">
        <v>366</v>
      </c>
    </row>
    <row r="10" spans="1:10" x14ac:dyDescent="0.25" outlineLevel="1" collapsed="1">
      <c r="A10" s="7" t="s">
        <v>15</v>
      </c>
      <c r="B10" s="7" t="s">
        <v>56</v>
      </c>
      <c r="C10" s="7" t="s">
        <v>21</v>
      </c>
      <c r="D10" s="7"/>
      <c r="E10" s="7" t="s">
        <v>367</v>
      </c>
      <c r="F10" s="7" t="s">
        <v>19</v>
      </c>
      <c r="G10" s="7" t="s">
        <v>545</v>
      </c>
      <c r="H10" s="7" t="s">
        <v>21</v>
      </c>
      <c r="I10" s="7" t="s">
        <v>21</v>
      </c>
      <c r="J10" s="7" t="s">
        <v>369</v>
      </c>
    </row>
    <row r="11" spans="1:10" x14ac:dyDescent="0.25" outlineLevel="1" collapsed="1">
      <c r="A11" s="7" t="s">
        <v>15</v>
      </c>
      <c r="B11" s="7" t="s">
        <v>27</v>
      </c>
      <c r="C11" s="8" t="s">
        <v>370</v>
      </c>
      <c r="D11" s="7"/>
      <c r="E11" s="7" t="s">
        <v>371</v>
      </c>
      <c r="F11" s="7" t="s">
        <v>19</v>
      </c>
      <c r="G11" s="7" t="s">
        <v>372</v>
      </c>
      <c r="H11" s="7" t="s">
        <v>21</v>
      </c>
      <c r="I11" s="7" t="s">
        <v>21</v>
      </c>
      <c r="J11" s="7" t="s">
        <v>373</v>
      </c>
    </row>
    <row r="12" spans="1:10" x14ac:dyDescent="0.25" outlineLevel="1" collapsed="1">
      <c r="A12" s="7" t="s">
        <v>19</v>
      </c>
      <c r="B12" s="7" t="s">
        <v>148</v>
      </c>
      <c r="C12" s="7" t="s">
        <v>21</v>
      </c>
      <c r="D12" s="7">
        <f>EXACT(G11,"Other")</f>
      </c>
      <c r="E12" s="7" t="s">
        <v>374</v>
      </c>
      <c r="F12" s="7" t="s">
        <v>19</v>
      </c>
      <c r="G12" s="7" t="s">
        <v>41</v>
      </c>
      <c r="H12" s="7" t="s">
        <v>21</v>
      </c>
      <c r="I12" s="7" t="s">
        <v>21</v>
      </c>
      <c r="J12" s="7" t="s">
        <v>198</v>
      </c>
    </row>
    <row r="13" spans="1:10" x14ac:dyDescent="0.25" outlineLevel="1" collapsed="1">
      <c r="A13" s="7" t="s">
        <v>19</v>
      </c>
      <c r="B13" s="7" t="s">
        <v>56</v>
      </c>
      <c r="C13" s="7" t="s">
        <v>21</v>
      </c>
      <c r="D13" s="7"/>
      <c r="E13" s="7" t="s">
        <v>375</v>
      </c>
      <c r="F13" s="7" t="s">
        <v>19</v>
      </c>
      <c r="G13" s="7" t="s">
        <v>546</v>
      </c>
      <c r="H13" s="7" t="s">
        <v>21</v>
      </c>
      <c r="I13" s="7" t="s">
        <v>21</v>
      </c>
      <c r="J13" s="7" t="s">
        <v>377</v>
      </c>
    </row>
    <row r="14" spans="1:10" x14ac:dyDescent="0.25">
      <c r="A14" s="5" t="s">
        <v>15</v>
      </c>
      <c r="B14" s="6" t="s">
        <v>378</v>
      </c>
      <c r="C14" s="5" t="s">
        <v>21</v>
      </c>
      <c r="D14" s="5"/>
      <c r="E14" s="5" t="s">
        <v>378</v>
      </c>
      <c r="F14" s="5" t="s">
        <v>19</v>
      </c>
      <c r="G14" s="5" t="s">
        <v>21</v>
      </c>
      <c r="H14" s="5" t="s">
        <v>21</v>
      </c>
      <c r="I14" s="5" t="s">
        <v>21</v>
      </c>
      <c r="J14" s="5" t="s">
        <v>379</v>
      </c>
    </row>
    <row r="15" spans="1:10" x14ac:dyDescent="0.25" outlineLevel="1" collapsed="1">
      <c r="A15" s="7" t="s">
        <v>15</v>
      </c>
      <c r="B15" s="7" t="s">
        <v>167</v>
      </c>
      <c r="C15" s="7" t="s">
        <v>21</v>
      </c>
      <c r="D15" s="7"/>
      <c r="E15" s="7" t="s">
        <v>380</v>
      </c>
      <c r="F15" s="7" t="s">
        <v>19</v>
      </c>
      <c r="G15" s="7">
        <v>5000</v>
      </c>
      <c r="H15" s="7" t="s">
        <v>21</v>
      </c>
      <c r="I15" s="7" t="s">
        <v>21</v>
      </c>
      <c r="J15" s="7" t="s">
        <v>381</v>
      </c>
    </row>
    <row r="16" spans="1:10" x14ac:dyDescent="0.25" outlineLevel="1" collapsed="1">
      <c r="A16" s="7" t="s">
        <v>15</v>
      </c>
      <c r="B16" s="7" t="s">
        <v>167</v>
      </c>
      <c r="C16" s="7" t="s">
        <v>21</v>
      </c>
      <c r="D16" s="7"/>
      <c r="E16" s="7" t="s">
        <v>382</v>
      </c>
      <c r="F16" s="7" t="s">
        <v>19</v>
      </c>
      <c r="G16" s="7">
        <v>200</v>
      </c>
      <c r="H16" s="7" t="s">
        <v>21</v>
      </c>
      <c r="I16" s="7" t="s">
        <v>21</v>
      </c>
      <c r="J16" s="7" t="s">
        <v>383</v>
      </c>
    </row>
    <row r="17" spans="1:10" x14ac:dyDescent="0.25" outlineLevel="1" collapsed="1">
      <c r="A17" s="7" t="s">
        <v>15</v>
      </c>
      <c r="B17" s="7" t="s">
        <v>167</v>
      </c>
      <c r="C17" s="7" t="s">
        <v>21</v>
      </c>
      <c r="D17" s="7"/>
      <c r="E17" s="7" t="s">
        <v>384</v>
      </c>
      <c r="F17" s="7" t="s">
        <v>19</v>
      </c>
      <c r="G17" s="7">
        <v>50</v>
      </c>
      <c r="H17" s="7" t="s">
        <v>21</v>
      </c>
      <c r="I17" s="7" t="s">
        <v>21</v>
      </c>
      <c r="J17" s="7" t="s">
        <v>385</v>
      </c>
    </row>
    <row r="18" spans="1:10" x14ac:dyDescent="0.25" outlineLevel="1" collapsed="1">
      <c r="A18" s="7" t="s">
        <v>19</v>
      </c>
      <c r="B18" s="7" t="s">
        <v>167</v>
      </c>
      <c r="C18" s="7" t="s">
        <v>21</v>
      </c>
      <c r="D18" s="7" t="s">
        <v>386</v>
      </c>
      <c r="E18" s="7" t="s">
        <v>387</v>
      </c>
      <c r="F18" s="7" t="s">
        <v>19</v>
      </c>
      <c r="G18" s="7">
        <v>4750</v>
      </c>
      <c r="H18" s="7" t="s">
        <v>21</v>
      </c>
      <c r="I18" s="7" t="s">
        <v>21</v>
      </c>
      <c r="J18" s="7" t="s">
        <v>388</v>
      </c>
    </row>
  </sheetData>
  <mergeCells count="3">
    <mergeCell ref="A1:J1"/>
    <mergeCell ref="B2:J2"/>
    <mergeCell ref="B3:J3"/>
  </mergeCells>
  <dataValidations count="2">
    <dataValidation type="list" allowBlank="1" sqref="G11:I11">
      <formula1>'Baseline treatment meth (enum)'!A4:A6</formula1>
    </dataValidation>
    <dataValidation type="list" allowBlank="1" sqref="G7:I7">
      <formula1>'Water source classifica (enum)'!A4:A5</formula1>
    </dataValidation>
  </dataValidations>
  <hyperlinks>
    <hyperlink ref="B5" r:id="rId1" location="#'Water Source Baseline Details'!A1"/>
    <hyperlink ref="C7" r:id="rId2" location="#'Water source classifica (enum)'!A3"/>
    <hyperlink ref="C11" r:id="rId3" location="#'Baseline treatment meth (enum)'!A3"/>
    <hyperlink ref="B14" r:id="rId4" location="#'Estimated Baseline Calculation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390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547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175</v>
      </c>
      <c r="C5" s="5" t="s">
        <v>21</v>
      </c>
      <c r="D5" s="5"/>
      <c r="E5" s="5" t="s">
        <v>176</v>
      </c>
      <c r="F5" s="5" t="s">
        <v>19</v>
      </c>
      <c r="G5" s="5" t="s">
        <v>177</v>
      </c>
      <c r="H5" s="5" t="s">
        <v>21</v>
      </c>
      <c r="I5" s="5" t="s">
        <v>21</v>
      </c>
      <c r="J5" s="5" t="s">
        <v>178</v>
      </c>
    </row>
    <row r="6" spans="1:10" x14ac:dyDescent="0.25">
      <c r="A6" s="5" t="s">
        <v>15</v>
      </c>
      <c r="B6" s="6" t="s">
        <v>393</v>
      </c>
      <c r="C6" s="5" t="s">
        <v>21</v>
      </c>
      <c r="D6" s="5"/>
      <c r="E6" s="5" t="s">
        <v>394</v>
      </c>
      <c r="F6" s="5" t="s">
        <v>19</v>
      </c>
      <c r="G6" s="5" t="s">
        <v>21</v>
      </c>
      <c r="H6" s="5" t="s">
        <v>21</v>
      </c>
      <c r="I6" s="5" t="s">
        <v>21</v>
      </c>
      <c r="J6" s="5" t="s">
        <v>395</v>
      </c>
    </row>
    <row r="7" spans="1:10" x14ac:dyDescent="0.25" outlineLevel="1" collapsed="1">
      <c r="A7" s="7" t="s">
        <v>15</v>
      </c>
      <c r="B7" s="7" t="s">
        <v>175</v>
      </c>
      <c r="C7" s="7" t="s">
        <v>21</v>
      </c>
      <c r="D7" s="7"/>
      <c r="E7" s="7" t="s">
        <v>396</v>
      </c>
      <c r="F7" s="7" t="s">
        <v>19</v>
      </c>
      <c r="G7" s="7" t="s">
        <v>177</v>
      </c>
      <c r="H7" s="7" t="s">
        <v>21</v>
      </c>
      <c r="I7" s="7" t="s">
        <v>21</v>
      </c>
      <c r="J7" s="7" t="s">
        <v>397</v>
      </c>
    </row>
    <row r="8" spans="1:10" x14ac:dyDescent="0.25" outlineLevel="1" collapsed="1">
      <c r="A8" s="7" t="s">
        <v>15</v>
      </c>
      <c r="B8" s="7" t="s">
        <v>175</v>
      </c>
      <c r="C8" s="7" t="s">
        <v>21</v>
      </c>
      <c r="D8" s="7"/>
      <c r="E8" s="7" t="s">
        <v>398</v>
      </c>
      <c r="F8" s="7" t="s">
        <v>19</v>
      </c>
      <c r="G8" s="7" t="s">
        <v>177</v>
      </c>
      <c r="H8" s="7" t="s">
        <v>21</v>
      </c>
      <c r="I8" s="7" t="s">
        <v>21</v>
      </c>
      <c r="J8" s="7" t="s">
        <v>399</v>
      </c>
    </row>
    <row r="9" spans="1:10" x14ac:dyDescent="0.25">
      <c r="A9" s="5" t="s">
        <v>19</v>
      </c>
      <c r="B9" s="5" t="s">
        <v>148</v>
      </c>
      <c r="C9" s="5" t="s">
        <v>21</v>
      </c>
      <c r="D9" s="5" t="s">
        <v>386</v>
      </c>
      <c r="E9" s="5" t="s">
        <v>400</v>
      </c>
      <c r="F9" s="5" t="s">
        <v>19</v>
      </c>
      <c r="G9" s="5" t="s">
        <v>41</v>
      </c>
      <c r="H9" s="5" t="s">
        <v>21</v>
      </c>
      <c r="I9" s="5" t="s">
        <v>21</v>
      </c>
      <c r="J9" s="5" t="s">
        <v>401</v>
      </c>
    </row>
    <row r="10" spans="1:10" x14ac:dyDescent="0.25">
      <c r="A10" s="5" t="s">
        <v>15</v>
      </c>
      <c r="B10" s="5" t="s">
        <v>27</v>
      </c>
      <c r="C10" s="6" t="s">
        <v>402</v>
      </c>
      <c r="D10" s="5"/>
      <c r="E10" s="5" t="s">
        <v>403</v>
      </c>
      <c r="F10" s="5" t="s">
        <v>19</v>
      </c>
      <c r="G10" s="5" t="s">
        <v>404</v>
      </c>
      <c r="H10" s="5" t="s">
        <v>21</v>
      </c>
      <c r="I10" s="5" t="s">
        <v>21</v>
      </c>
      <c r="J10" s="5" t="s">
        <v>405</v>
      </c>
    </row>
  </sheetData>
  <mergeCells count="3">
    <mergeCell ref="A1:J1"/>
    <mergeCell ref="B2:J2"/>
    <mergeCell ref="B3:J3"/>
  </mergeCells>
  <dataValidations count="1">
    <dataValidation type="list" allowBlank="1" sqref="G10:I10">
      <formula1>'Type of crediting Perio (enum)'!A4:A5</formula1>
    </dataValidation>
  </dataValidations>
  <hyperlinks>
    <hyperlink ref="B6" r:id="rId1" location="#'Project Crediting Period'!A1"/>
    <hyperlink ref="C10" r:id="rId2" location="#'Type of crediting Perio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426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548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148</v>
      </c>
      <c r="C5" s="5" t="s">
        <v>21</v>
      </c>
      <c r="D5" s="5"/>
      <c r="E5" s="5" t="s">
        <v>427</v>
      </c>
      <c r="F5" s="5" t="s">
        <v>19</v>
      </c>
      <c r="G5" s="5" t="s">
        <v>41</v>
      </c>
      <c r="H5" s="5" t="s">
        <v>21</v>
      </c>
      <c r="I5" s="5" t="s">
        <v>21</v>
      </c>
      <c r="J5" s="5" t="s">
        <v>428</v>
      </c>
    </row>
    <row r="6" spans="1:10" x14ac:dyDescent="0.25">
      <c r="A6" s="5" t="s">
        <v>15</v>
      </c>
      <c r="B6" s="5" t="s">
        <v>148</v>
      </c>
      <c r="C6" s="5" t="s">
        <v>21</v>
      </c>
      <c r="D6" s="5"/>
      <c r="E6" s="5" t="s">
        <v>429</v>
      </c>
      <c r="F6" s="5" t="s">
        <v>19</v>
      </c>
      <c r="G6" s="5" t="s">
        <v>41</v>
      </c>
      <c r="H6" s="5" t="s">
        <v>21</v>
      </c>
      <c r="I6" s="5" t="s">
        <v>21</v>
      </c>
      <c r="J6" s="5" t="s">
        <v>325</v>
      </c>
    </row>
    <row r="7" spans="1:10" x14ac:dyDescent="0.25">
      <c r="A7" s="5" t="s">
        <v>15</v>
      </c>
      <c r="B7" s="5" t="s">
        <v>148</v>
      </c>
      <c r="C7" s="5" t="s">
        <v>21</v>
      </c>
      <c r="D7" s="5"/>
      <c r="E7" s="5" t="s">
        <v>430</v>
      </c>
      <c r="F7" s="5" t="s">
        <v>19</v>
      </c>
      <c r="G7" s="5" t="s">
        <v>41</v>
      </c>
      <c r="H7" s="5" t="s">
        <v>21</v>
      </c>
      <c r="I7" s="5" t="s">
        <v>21</v>
      </c>
      <c r="J7" s="5" t="s">
        <v>431</v>
      </c>
    </row>
    <row r="8" spans="1:10" x14ac:dyDescent="0.25">
      <c r="A8" s="5" t="s">
        <v>15</v>
      </c>
      <c r="B8" s="5" t="s">
        <v>56</v>
      </c>
      <c r="C8" s="5" t="s">
        <v>21</v>
      </c>
      <c r="D8" s="5"/>
      <c r="E8" s="5" t="s">
        <v>432</v>
      </c>
      <c r="F8" s="5" t="s">
        <v>19</v>
      </c>
      <c r="G8" s="5" t="s">
        <v>433</v>
      </c>
      <c r="H8" s="5" t="s">
        <v>21</v>
      </c>
      <c r="I8" s="5" t="s">
        <v>21</v>
      </c>
      <c r="J8" s="5" t="s">
        <v>434</v>
      </c>
    </row>
    <row r="9" spans="1:10" x14ac:dyDescent="0.25">
      <c r="A9" s="5" t="s">
        <v>15</v>
      </c>
      <c r="B9" s="5" t="s">
        <v>148</v>
      </c>
      <c r="C9" s="5" t="s">
        <v>21</v>
      </c>
      <c r="D9" s="5"/>
      <c r="E9" s="5" t="s">
        <v>435</v>
      </c>
      <c r="F9" s="5" t="s">
        <v>19</v>
      </c>
      <c r="G9" s="5" t="s">
        <v>41</v>
      </c>
      <c r="H9" s="5" t="s">
        <v>21</v>
      </c>
      <c r="I9" s="5" t="s">
        <v>21</v>
      </c>
      <c r="J9" s="5" t="s">
        <v>436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437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549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27</v>
      </c>
      <c r="C5" s="6" t="s">
        <v>439</v>
      </c>
      <c r="D5" s="5"/>
      <c r="E5" s="5" t="s">
        <v>440</v>
      </c>
      <c r="F5" s="5" t="s">
        <v>19</v>
      </c>
      <c r="G5" s="5" t="s">
        <v>441</v>
      </c>
      <c r="H5" s="5" t="s">
        <v>21</v>
      </c>
      <c r="I5" s="5" t="s">
        <v>21</v>
      </c>
      <c r="J5" s="5" t="s">
        <v>442</v>
      </c>
    </row>
    <row r="6" spans="1:10" x14ac:dyDescent="0.25">
      <c r="A6" s="5" t="s">
        <v>15</v>
      </c>
      <c r="B6" s="5" t="s">
        <v>148</v>
      </c>
      <c r="C6" s="5" t="s">
        <v>21</v>
      </c>
      <c r="D6" s="5"/>
      <c r="E6" s="5" t="s">
        <v>443</v>
      </c>
      <c r="F6" s="5" t="s">
        <v>19</v>
      </c>
      <c r="G6" s="5" t="s">
        <v>41</v>
      </c>
      <c r="H6" s="5" t="s">
        <v>21</v>
      </c>
      <c r="I6" s="5" t="s">
        <v>21</v>
      </c>
      <c r="J6" s="5" t="s">
        <v>444</v>
      </c>
    </row>
    <row r="7" spans="1:10" x14ac:dyDescent="0.25">
      <c r="A7" s="5" t="s">
        <v>15</v>
      </c>
      <c r="B7" s="5" t="s">
        <v>148</v>
      </c>
      <c r="C7" s="5" t="s">
        <v>21</v>
      </c>
      <c r="D7" s="5"/>
      <c r="E7" s="5" t="s">
        <v>445</v>
      </c>
      <c r="F7" s="5" t="s">
        <v>19</v>
      </c>
      <c r="G7" s="5" t="s">
        <v>41</v>
      </c>
      <c r="H7" s="5" t="s">
        <v>21</v>
      </c>
      <c r="I7" s="5" t="s">
        <v>21</v>
      </c>
      <c r="J7" s="5" t="s">
        <v>446</v>
      </c>
    </row>
    <row r="8" spans="1:10" x14ac:dyDescent="0.25">
      <c r="A8" s="5" t="s">
        <v>15</v>
      </c>
      <c r="B8" s="5" t="s">
        <v>148</v>
      </c>
      <c r="C8" s="5" t="s">
        <v>21</v>
      </c>
      <c r="D8" s="5"/>
      <c r="E8" s="5" t="s">
        <v>447</v>
      </c>
      <c r="F8" s="5" t="s">
        <v>19</v>
      </c>
      <c r="G8" s="5" t="s">
        <v>41</v>
      </c>
      <c r="H8" s="5" t="s">
        <v>21</v>
      </c>
      <c r="I8" s="5" t="s">
        <v>21</v>
      </c>
      <c r="J8" s="5" t="s">
        <v>448</v>
      </c>
    </row>
    <row r="9" spans="1:10" x14ac:dyDescent="0.25">
      <c r="A9" s="5" t="s">
        <v>15</v>
      </c>
      <c r="B9" s="5" t="s">
        <v>148</v>
      </c>
      <c r="C9" s="5" t="s">
        <v>21</v>
      </c>
      <c r="D9" s="5"/>
      <c r="E9" s="5" t="s">
        <v>449</v>
      </c>
      <c r="F9" s="5" t="s">
        <v>19</v>
      </c>
      <c r="G9" s="5" t="s">
        <v>41</v>
      </c>
      <c r="H9" s="5" t="s">
        <v>21</v>
      </c>
      <c r="I9" s="5" t="s">
        <v>21</v>
      </c>
      <c r="J9" s="5" t="s">
        <v>450</v>
      </c>
    </row>
    <row r="10" spans="1:10" x14ac:dyDescent="0.25">
      <c r="A10" s="5" t="s">
        <v>15</v>
      </c>
      <c r="B10" s="5" t="s">
        <v>56</v>
      </c>
      <c r="C10" s="5" t="s">
        <v>21</v>
      </c>
      <c r="D10" s="5"/>
      <c r="E10" s="5" t="s">
        <v>451</v>
      </c>
      <c r="F10" s="5" t="s">
        <v>19</v>
      </c>
      <c r="G10" s="5" t="s">
        <v>550</v>
      </c>
      <c r="H10" s="5" t="s">
        <v>21</v>
      </c>
      <c r="I10" s="5" t="s">
        <v>21</v>
      </c>
      <c r="J10" s="5" t="s">
        <v>453</v>
      </c>
    </row>
  </sheetData>
  <mergeCells count="3">
    <mergeCell ref="A1:J1"/>
    <mergeCell ref="B2:J2"/>
    <mergeCell ref="B3:J3"/>
  </mergeCells>
  <dataValidations count="1">
    <dataValidation type="list" allowBlank="1" sqref="G5:I5">
      <formula1>'Campaign type (enum)'!A4:A7</formula1>
    </dataValidation>
  </dataValidations>
  <hyperlinks>
    <hyperlink ref="C5" r:id="rId1" location="#'Campaign type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4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551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410</v>
      </c>
      <c r="C5" s="5" t="s">
        <v>21</v>
      </c>
      <c r="D5" s="5"/>
      <c r="E5" s="5" t="s">
        <v>411</v>
      </c>
      <c r="F5" s="5" t="s">
        <v>19</v>
      </c>
      <c r="G5" s="5">
        <v>1</v>
      </c>
      <c r="H5" s="5" t="s">
        <v>21</v>
      </c>
      <c r="I5" s="5" t="s">
        <v>21</v>
      </c>
      <c r="J5" s="5" t="s">
        <v>412</v>
      </c>
    </row>
    <row r="6" spans="1:10" x14ac:dyDescent="0.25">
      <c r="A6" s="5" t="s">
        <v>15</v>
      </c>
      <c r="B6" s="5" t="s">
        <v>410</v>
      </c>
      <c r="C6" s="5" t="s">
        <v>21</v>
      </c>
      <c r="D6" s="5"/>
      <c r="E6" s="5" t="s">
        <v>413</v>
      </c>
      <c r="F6" s="5" t="s">
        <v>19</v>
      </c>
      <c r="G6" s="5">
        <v>1</v>
      </c>
      <c r="H6" s="5" t="s">
        <v>21</v>
      </c>
      <c r="I6" s="5" t="s">
        <v>21</v>
      </c>
      <c r="J6" s="5" t="s">
        <v>414</v>
      </c>
    </row>
    <row r="7" spans="1:10" x14ac:dyDescent="0.25">
      <c r="A7" s="5" t="s">
        <v>15</v>
      </c>
      <c r="B7" s="5" t="s">
        <v>246</v>
      </c>
      <c r="C7" s="5" t="s">
        <v>21</v>
      </c>
      <c r="D7" s="5"/>
      <c r="E7" s="5" t="s">
        <v>415</v>
      </c>
      <c r="F7" s="5" t="s">
        <v>19</v>
      </c>
      <c r="G7" s="5" t="b">
        <v>1</v>
      </c>
      <c r="H7" s="5" t="s">
        <v>21</v>
      </c>
      <c r="I7" s="5" t="s">
        <v>21</v>
      </c>
      <c r="J7" s="5" t="s">
        <v>416</v>
      </c>
    </row>
    <row r="8" spans="1:10" x14ac:dyDescent="0.25">
      <c r="A8" s="5" t="s">
        <v>15</v>
      </c>
      <c r="B8" s="5" t="s">
        <v>246</v>
      </c>
      <c r="C8" s="5" t="s">
        <v>21</v>
      </c>
      <c r="D8" s="5"/>
      <c r="E8" s="5" t="s">
        <v>417</v>
      </c>
      <c r="F8" s="5" t="s">
        <v>19</v>
      </c>
      <c r="G8" s="5" t="b">
        <v>1</v>
      </c>
      <c r="H8" s="5" t="s">
        <v>21</v>
      </c>
      <c r="I8" s="5" t="s">
        <v>21</v>
      </c>
      <c r="J8" s="5" t="s">
        <v>418</v>
      </c>
    </row>
    <row r="9" spans="1:10" x14ac:dyDescent="0.25">
      <c r="A9" s="5" t="s">
        <v>15</v>
      </c>
      <c r="B9" s="5" t="s">
        <v>148</v>
      </c>
      <c r="C9" s="5" t="s">
        <v>21</v>
      </c>
      <c r="D9" s="5"/>
      <c r="E9" s="5" t="s">
        <v>419</v>
      </c>
      <c r="F9" s="5" t="s">
        <v>19</v>
      </c>
      <c r="G9" s="5" t="s">
        <v>41</v>
      </c>
      <c r="H9" s="5" t="s">
        <v>21</v>
      </c>
      <c r="I9" s="5" t="s">
        <v>21</v>
      </c>
      <c r="J9" s="5" t="s">
        <v>420</v>
      </c>
    </row>
    <row r="10" spans="1:10" x14ac:dyDescent="0.25">
      <c r="A10" s="5" t="s">
        <v>15</v>
      </c>
      <c r="B10" s="5" t="s">
        <v>148</v>
      </c>
      <c r="C10" s="5" t="s">
        <v>21</v>
      </c>
      <c r="D10" s="5"/>
      <c r="E10" s="5" t="s">
        <v>421</v>
      </c>
      <c r="F10" s="5" t="s">
        <v>19</v>
      </c>
      <c r="G10" s="5" t="s">
        <v>41</v>
      </c>
      <c r="H10" s="5" t="s">
        <v>21</v>
      </c>
      <c r="I10" s="5" t="s">
        <v>21</v>
      </c>
      <c r="J10" s="5" t="s">
        <v>422</v>
      </c>
    </row>
    <row r="11" spans="1:10" x14ac:dyDescent="0.25">
      <c r="A11" s="5" t="s">
        <v>15</v>
      </c>
      <c r="B11" s="5" t="s">
        <v>56</v>
      </c>
      <c r="C11" s="5" t="s">
        <v>21</v>
      </c>
      <c r="D11" s="5"/>
      <c r="E11" s="5" t="s">
        <v>423</v>
      </c>
      <c r="F11" s="5" t="s">
        <v>19</v>
      </c>
      <c r="G11" s="5" t="s">
        <v>552</v>
      </c>
      <c r="H11" s="5" t="s">
        <v>21</v>
      </c>
      <c r="I11" s="5" t="s">
        <v>21</v>
      </c>
      <c r="J11" s="5" t="s">
        <v>425</v>
      </c>
    </row>
    <row r="12" spans="1:10" x14ac:dyDescent="0.25">
      <c r="A12" s="5" t="s">
        <v>15</v>
      </c>
      <c r="B12" s="6" t="s">
        <v>426</v>
      </c>
      <c r="C12" s="5" t="s">
        <v>21</v>
      </c>
      <c r="D12" s="5"/>
      <c r="E12" s="5" t="s">
        <v>426</v>
      </c>
      <c r="F12" s="5" t="s">
        <v>19</v>
      </c>
      <c r="G12" s="5" t="s">
        <v>21</v>
      </c>
      <c r="H12" s="5" t="s">
        <v>21</v>
      </c>
      <c r="I12" s="5" t="s">
        <v>21</v>
      </c>
      <c r="J12" s="5" t="s">
        <v>198</v>
      </c>
    </row>
    <row r="13" spans="1:10" x14ac:dyDescent="0.25" outlineLevel="1" collapsed="1">
      <c r="A13" s="7" t="s">
        <v>15</v>
      </c>
      <c r="B13" s="7" t="s">
        <v>148</v>
      </c>
      <c r="C13" s="7" t="s">
        <v>21</v>
      </c>
      <c r="D13" s="7"/>
      <c r="E13" s="7" t="s">
        <v>427</v>
      </c>
      <c r="F13" s="7" t="s">
        <v>19</v>
      </c>
      <c r="G13" s="7" t="s">
        <v>41</v>
      </c>
      <c r="H13" s="7" t="s">
        <v>21</v>
      </c>
      <c r="I13" s="7" t="s">
        <v>21</v>
      </c>
      <c r="J13" s="7" t="s">
        <v>428</v>
      </c>
    </row>
    <row r="14" spans="1:10" x14ac:dyDescent="0.25" outlineLevel="1" collapsed="1">
      <c r="A14" s="7" t="s">
        <v>15</v>
      </c>
      <c r="B14" s="7" t="s">
        <v>148</v>
      </c>
      <c r="C14" s="7" t="s">
        <v>21</v>
      </c>
      <c r="D14" s="7"/>
      <c r="E14" s="7" t="s">
        <v>429</v>
      </c>
      <c r="F14" s="7" t="s">
        <v>19</v>
      </c>
      <c r="G14" s="7" t="s">
        <v>41</v>
      </c>
      <c r="H14" s="7" t="s">
        <v>21</v>
      </c>
      <c r="I14" s="7" t="s">
        <v>21</v>
      </c>
      <c r="J14" s="7" t="s">
        <v>325</v>
      </c>
    </row>
    <row r="15" spans="1:10" x14ac:dyDescent="0.25" outlineLevel="1" collapsed="1">
      <c r="A15" s="7" t="s">
        <v>15</v>
      </c>
      <c r="B15" s="7" t="s">
        <v>148</v>
      </c>
      <c r="C15" s="7" t="s">
        <v>21</v>
      </c>
      <c r="D15" s="7"/>
      <c r="E15" s="7" t="s">
        <v>430</v>
      </c>
      <c r="F15" s="7" t="s">
        <v>19</v>
      </c>
      <c r="G15" s="7" t="s">
        <v>41</v>
      </c>
      <c r="H15" s="7" t="s">
        <v>21</v>
      </c>
      <c r="I15" s="7" t="s">
        <v>21</v>
      </c>
      <c r="J15" s="7" t="s">
        <v>431</v>
      </c>
    </row>
    <row r="16" spans="1:10" x14ac:dyDescent="0.25" outlineLevel="1" collapsed="1">
      <c r="A16" s="7" t="s">
        <v>15</v>
      </c>
      <c r="B16" s="7" t="s">
        <v>56</v>
      </c>
      <c r="C16" s="7" t="s">
        <v>21</v>
      </c>
      <c r="D16" s="7"/>
      <c r="E16" s="7" t="s">
        <v>432</v>
      </c>
      <c r="F16" s="7" t="s">
        <v>19</v>
      </c>
      <c r="G16" s="7" t="s">
        <v>433</v>
      </c>
      <c r="H16" s="7" t="s">
        <v>21</v>
      </c>
      <c r="I16" s="7" t="s">
        <v>21</v>
      </c>
      <c r="J16" s="7" t="s">
        <v>434</v>
      </c>
    </row>
    <row r="17" spans="1:10" x14ac:dyDescent="0.25" outlineLevel="1" collapsed="1">
      <c r="A17" s="7" t="s">
        <v>15</v>
      </c>
      <c r="B17" s="7" t="s">
        <v>148</v>
      </c>
      <c r="C17" s="7" t="s">
        <v>21</v>
      </c>
      <c r="D17" s="7"/>
      <c r="E17" s="7" t="s">
        <v>435</v>
      </c>
      <c r="F17" s="7" t="s">
        <v>19</v>
      </c>
      <c r="G17" s="7" t="s">
        <v>41</v>
      </c>
      <c r="H17" s="7" t="s">
        <v>21</v>
      </c>
      <c r="I17" s="7" t="s">
        <v>21</v>
      </c>
      <c r="J17" s="7" t="s">
        <v>436</v>
      </c>
    </row>
    <row r="18" spans="1:10" x14ac:dyDescent="0.25">
      <c r="A18" s="5" t="s">
        <v>15</v>
      </c>
      <c r="B18" s="6" t="s">
        <v>437</v>
      </c>
      <c r="C18" s="5" t="s">
        <v>21</v>
      </c>
      <c r="D18" s="5"/>
      <c r="E18" s="5" t="s">
        <v>438</v>
      </c>
      <c r="F18" s="5" t="s">
        <v>19</v>
      </c>
      <c r="G18" s="5" t="s">
        <v>21</v>
      </c>
      <c r="H18" s="5" t="s">
        <v>21</v>
      </c>
      <c r="I18" s="5" t="s">
        <v>21</v>
      </c>
      <c r="J18" s="5" t="s">
        <v>294</v>
      </c>
    </row>
    <row r="19" spans="1:10" x14ac:dyDescent="0.25" outlineLevel="1" collapsed="1">
      <c r="A19" s="7" t="s">
        <v>15</v>
      </c>
      <c r="B19" s="7" t="s">
        <v>27</v>
      </c>
      <c r="C19" s="8" t="s">
        <v>439</v>
      </c>
      <c r="D19" s="7"/>
      <c r="E19" s="7" t="s">
        <v>440</v>
      </c>
      <c r="F19" s="7" t="s">
        <v>19</v>
      </c>
      <c r="G19" s="7" t="s">
        <v>441</v>
      </c>
      <c r="H19" s="7" t="s">
        <v>21</v>
      </c>
      <c r="I19" s="7" t="s">
        <v>21</v>
      </c>
      <c r="J19" s="7" t="s">
        <v>442</v>
      </c>
    </row>
    <row r="20" spans="1:10" x14ac:dyDescent="0.25" outlineLevel="1" collapsed="1">
      <c r="A20" s="7" t="s">
        <v>15</v>
      </c>
      <c r="B20" s="7" t="s">
        <v>148</v>
      </c>
      <c r="C20" s="7" t="s">
        <v>21</v>
      </c>
      <c r="D20" s="7"/>
      <c r="E20" s="7" t="s">
        <v>443</v>
      </c>
      <c r="F20" s="7" t="s">
        <v>19</v>
      </c>
      <c r="G20" s="7" t="s">
        <v>41</v>
      </c>
      <c r="H20" s="7" t="s">
        <v>21</v>
      </c>
      <c r="I20" s="7" t="s">
        <v>21</v>
      </c>
      <c r="J20" s="7" t="s">
        <v>444</v>
      </c>
    </row>
    <row r="21" spans="1:10" x14ac:dyDescent="0.25" outlineLevel="1" collapsed="1">
      <c r="A21" s="7" t="s">
        <v>15</v>
      </c>
      <c r="B21" s="7" t="s">
        <v>148</v>
      </c>
      <c r="C21" s="7" t="s">
        <v>21</v>
      </c>
      <c r="D21" s="7"/>
      <c r="E21" s="7" t="s">
        <v>445</v>
      </c>
      <c r="F21" s="7" t="s">
        <v>19</v>
      </c>
      <c r="G21" s="7" t="s">
        <v>41</v>
      </c>
      <c r="H21" s="7" t="s">
        <v>21</v>
      </c>
      <c r="I21" s="7" t="s">
        <v>21</v>
      </c>
      <c r="J21" s="7" t="s">
        <v>446</v>
      </c>
    </row>
    <row r="22" spans="1:10" x14ac:dyDescent="0.25" outlineLevel="1" collapsed="1">
      <c r="A22" s="7" t="s">
        <v>15</v>
      </c>
      <c r="B22" s="7" t="s">
        <v>148</v>
      </c>
      <c r="C22" s="7" t="s">
        <v>21</v>
      </c>
      <c r="D22" s="7"/>
      <c r="E22" s="7" t="s">
        <v>447</v>
      </c>
      <c r="F22" s="7" t="s">
        <v>19</v>
      </c>
      <c r="G22" s="7" t="s">
        <v>41</v>
      </c>
      <c r="H22" s="7" t="s">
        <v>21</v>
      </c>
      <c r="I22" s="7" t="s">
        <v>21</v>
      </c>
      <c r="J22" s="7" t="s">
        <v>448</v>
      </c>
    </row>
    <row r="23" spans="1:10" x14ac:dyDescent="0.25" outlineLevel="1" collapsed="1">
      <c r="A23" s="7" t="s">
        <v>15</v>
      </c>
      <c r="B23" s="7" t="s">
        <v>148</v>
      </c>
      <c r="C23" s="7" t="s">
        <v>21</v>
      </c>
      <c r="D23" s="7"/>
      <c r="E23" s="7" t="s">
        <v>449</v>
      </c>
      <c r="F23" s="7" t="s">
        <v>19</v>
      </c>
      <c r="G23" s="7" t="s">
        <v>41</v>
      </c>
      <c r="H23" s="7" t="s">
        <v>21</v>
      </c>
      <c r="I23" s="7" t="s">
        <v>21</v>
      </c>
      <c r="J23" s="7" t="s">
        <v>450</v>
      </c>
    </row>
    <row r="24" spans="1:10" x14ac:dyDescent="0.25" outlineLevel="1" collapsed="1">
      <c r="A24" s="7" t="s">
        <v>15</v>
      </c>
      <c r="B24" s="7" t="s">
        <v>56</v>
      </c>
      <c r="C24" s="7" t="s">
        <v>21</v>
      </c>
      <c r="D24" s="7"/>
      <c r="E24" s="7" t="s">
        <v>451</v>
      </c>
      <c r="F24" s="7" t="s">
        <v>19</v>
      </c>
      <c r="G24" s="7" t="s">
        <v>553</v>
      </c>
      <c r="H24" s="7" t="s">
        <v>21</v>
      </c>
      <c r="I24" s="7" t="s">
        <v>21</v>
      </c>
      <c r="J24" s="7" t="s">
        <v>453</v>
      </c>
    </row>
  </sheetData>
  <mergeCells count="3">
    <mergeCell ref="A1:J1"/>
    <mergeCell ref="B2:J2"/>
    <mergeCell ref="B3:J3"/>
  </mergeCells>
  <dataValidations count="1">
    <dataValidation type="list" allowBlank="1" sqref="G19:I19">
      <formula1>'Campaign type (enum)'!A4:A7</formula1>
    </dataValidation>
  </dataValidations>
  <hyperlinks>
    <hyperlink ref="B12" r:id="rId1" location="#'Maintenance and Operation Plan'!A1"/>
    <hyperlink ref="B18" r:id="rId2" location="#'Hygiene Awareness Campaign'!A1"/>
    <hyperlink ref="C19" r:id="rId3" location="#'Campaign type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455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455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148</v>
      </c>
      <c r="C5" s="5" t="s">
        <v>21</v>
      </c>
      <c r="D5" s="5"/>
      <c r="E5" s="5" t="s">
        <v>458</v>
      </c>
      <c r="F5" s="5" t="s">
        <v>19</v>
      </c>
      <c r="G5" s="5" t="s">
        <v>41</v>
      </c>
      <c r="H5" s="5" t="s">
        <v>21</v>
      </c>
      <c r="I5" s="5" t="s">
        <v>21</v>
      </c>
      <c r="J5" s="5" t="s">
        <v>459</v>
      </c>
    </row>
    <row r="6" spans="1:10" x14ac:dyDescent="0.25">
      <c r="A6" s="5" t="s">
        <v>15</v>
      </c>
      <c r="B6" s="5" t="s">
        <v>148</v>
      </c>
      <c r="C6" s="5" t="s">
        <v>21</v>
      </c>
      <c r="D6" s="5"/>
      <c r="E6" s="5" t="s">
        <v>460</v>
      </c>
      <c r="F6" s="5" t="s">
        <v>19</v>
      </c>
      <c r="G6" s="5" t="s">
        <v>41</v>
      </c>
      <c r="H6" s="5" t="s">
        <v>21</v>
      </c>
      <c r="I6" s="5" t="s">
        <v>21</v>
      </c>
      <c r="J6" s="5" t="s">
        <v>461</v>
      </c>
    </row>
    <row r="7" spans="1:10" x14ac:dyDescent="0.25">
      <c r="A7" s="5" t="s">
        <v>15</v>
      </c>
      <c r="B7" s="5" t="s">
        <v>148</v>
      </c>
      <c r="C7" s="5" t="s">
        <v>21</v>
      </c>
      <c r="D7" s="5"/>
      <c r="E7" s="5" t="s">
        <v>462</v>
      </c>
      <c r="F7" s="5" t="s">
        <v>19</v>
      </c>
      <c r="G7" s="5" t="s">
        <v>41</v>
      </c>
      <c r="H7" s="5" t="s">
        <v>21</v>
      </c>
      <c r="I7" s="5" t="s">
        <v>21</v>
      </c>
      <c r="J7" s="5" t="s">
        <v>463</v>
      </c>
    </row>
    <row r="8" spans="1:10" x14ac:dyDescent="0.25">
      <c r="A8" s="5" t="s">
        <v>15</v>
      </c>
      <c r="B8" s="5" t="s">
        <v>148</v>
      </c>
      <c r="C8" s="5" t="s">
        <v>21</v>
      </c>
      <c r="D8" s="5"/>
      <c r="E8" s="5" t="s">
        <v>464</v>
      </c>
      <c r="F8" s="5" t="s">
        <v>19</v>
      </c>
      <c r="G8" s="5" t="s">
        <v>41</v>
      </c>
      <c r="H8" s="5" t="s">
        <v>21</v>
      </c>
      <c r="I8" s="5" t="s">
        <v>21</v>
      </c>
      <c r="J8" s="5" t="s">
        <v>465</v>
      </c>
    </row>
    <row r="9" spans="1:10" x14ac:dyDescent="0.25">
      <c r="A9" s="5" t="s">
        <v>15</v>
      </c>
      <c r="B9" s="5" t="s">
        <v>148</v>
      </c>
      <c r="C9" s="5" t="s">
        <v>21</v>
      </c>
      <c r="D9" s="5"/>
      <c r="E9" s="5" t="s">
        <v>466</v>
      </c>
      <c r="F9" s="5" t="s">
        <v>19</v>
      </c>
      <c r="G9" s="5" t="s">
        <v>41</v>
      </c>
      <c r="H9" s="5" t="s">
        <v>21</v>
      </c>
      <c r="I9" s="5" t="s">
        <v>21</v>
      </c>
      <c r="J9" s="5" t="s">
        <v>467</v>
      </c>
    </row>
    <row r="10" spans="1:10" x14ac:dyDescent="0.25">
      <c r="A10" s="5" t="s">
        <v>19</v>
      </c>
      <c r="B10" s="5" t="s">
        <v>56</v>
      </c>
      <c r="C10" s="5" t="s">
        <v>21</v>
      </c>
      <c r="D10" s="5"/>
      <c r="E10" s="5" t="s">
        <v>468</v>
      </c>
      <c r="F10" s="5" t="s">
        <v>19</v>
      </c>
      <c r="G10" s="5" t="s">
        <v>554</v>
      </c>
      <c r="H10" s="5" t="s">
        <v>21</v>
      </c>
      <c r="I10" s="5" t="s">
        <v>21</v>
      </c>
      <c r="J10" s="5" t="s">
        <v>470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4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471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471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148</v>
      </c>
      <c r="C5" s="5" t="s">
        <v>21</v>
      </c>
      <c r="D5" s="5"/>
      <c r="E5" s="5" t="s">
        <v>474</v>
      </c>
      <c r="F5" s="5" t="s">
        <v>19</v>
      </c>
      <c r="G5" s="5" t="s">
        <v>41</v>
      </c>
      <c r="H5" s="5" t="s">
        <v>21</v>
      </c>
      <c r="I5" s="5" t="s">
        <v>21</v>
      </c>
      <c r="J5" s="5" t="s">
        <v>475</v>
      </c>
    </row>
    <row r="6" spans="1:10" x14ac:dyDescent="0.25">
      <c r="A6" s="5" t="s">
        <v>15</v>
      </c>
      <c r="B6" s="5" t="s">
        <v>148</v>
      </c>
      <c r="C6" s="5" t="s">
        <v>21</v>
      </c>
      <c r="D6" s="5"/>
      <c r="E6" s="5" t="s">
        <v>476</v>
      </c>
      <c r="F6" s="5" t="s">
        <v>19</v>
      </c>
      <c r="G6" s="5" t="s">
        <v>41</v>
      </c>
      <c r="H6" s="5" t="s">
        <v>21</v>
      </c>
      <c r="I6" s="5" t="s">
        <v>21</v>
      </c>
      <c r="J6" s="5" t="s">
        <v>477</v>
      </c>
    </row>
    <row r="7" spans="1:10" x14ac:dyDescent="0.25">
      <c r="A7" s="5" t="s">
        <v>15</v>
      </c>
      <c r="B7" s="5" t="s">
        <v>148</v>
      </c>
      <c r="C7" s="5" t="s">
        <v>21</v>
      </c>
      <c r="D7" s="5"/>
      <c r="E7" s="5" t="s">
        <v>478</v>
      </c>
      <c r="F7" s="5" t="s">
        <v>19</v>
      </c>
      <c r="G7" s="5" t="s">
        <v>41</v>
      </c>
      <c r="H7" s="5" t="s">
        <v>21</v>
      </c>
      <c r="I7" s="5" t="s">
        <v>21</v>
      </c>
      <c r="J7" s="5" t="s">
        <v>479</v>
      </c>
    </row>
    <row r="8" spans="1:10" x14ac:dyDescent="0.25">
      <c r="A8" s="5" t="s">
        <v>15</v>
      </c>
      <c r="B8" s="5" t="s">
        <v>148</v>
      </c>
      <c r="C8" s="5" t="s">
        <v>21</v>
      </c>
      <c r="D8" s="5"/>
      <c r="E8" s="5" t="s">
        <v>480</v>
      </c>
      <c r="F8" s="5" t="s">
        <v>19</v>
      </c>
      <c r="G8" s="5" t="s">
        <v>41</v>
      </c>
      <c r="H8" s="5" t="s">
        <v>21</v>
      </c>
      <c r="I8" s="5" t="s">
        <v>21</v>
      </c>
      <c r="J8" s="5" t="s">
        <v>481</v>
      </c>
    </row>
    <row r="9" spans="1:10" x14ac:dyDescent="0.25">
      <c r="A9" s="5" t="s">
        <v>15</v>
      </c>
      <c r="B9" s="5" t="s">
        <v>148</v>
      </c>
      <c r="C9" s="5" t="s">
        <v>21</v>
      </c>
      <c r="D9" s="5"/>
      <c r="E9" s="5" t="s">
        <v>482</v>
      </c>
      <c r="F9" s="5" t="s">
        <v>19</v>
      </c>
      <c r="G9" s="5" t="s">
        <v>41</v>
      </c>
      <c r="H9" s="5" t="s">
        <v>21</v>
      </c>
      <c r="I9" s="5" t="s">
        <v>21</v>
      </c>
      <c r="J9" s="5" t="s">
        <v>483</v>
      </c>
    </row>
    <row r="10" spans="1:10" x14ac:dyDescent="0.25">
      <c r="A10" s="5" t="s">
        <v>15</v>
      </c>
      <c r="B10" s="5" t="s">
        <v>148</v>
      </c>
      <c r="C10" s="5" t="s">
        <v>21</v>
      </c>
      <c r="D10" s="5"/>
      <c r="E10" s="5" t="s">
        <v>484</v>
      </c>
      <c r="F10" s="5" t="s">
        <v>19</v>
      </c>
      <c r="G10" s="5" t="s">
        <v>41</v>
      </c>
      <c r="H10" s="5" t="s">
        <v>21</v>
      </c>
      <c r="I10" s="5" t="s">
        <v>21</v>
      </c>
      <c r="J10" s="5" t="s">
        <v>485</v>
      </c>
    </row>
    <row r="11" spans="1:10" x14ac:dyDescent="0.25">
      <c r="A11" s="5" t="s">
        <v>15</v>
      </c>
      <c r="B11" s="5" t="s">
        <v>148</v>
      </c>
      <c r="C11" s="5" t="s">
        <v>21</v>
      </c>
      <c r="D11" s="5"/>
      <c r="E11" s="5" t="s">
        <v>486</v>
      </c>
      <c r="F11" s="5" t="s">
        <v>19</v>
      </c>
      <c r="G11" s="5" t="s">
        <v>41</v>
      </c>
      <c r="H11" s="5" t="s">
        <v>21</v>
      </c>
      <c r="I11" s="5" t="s">
        <v>21</v>
      </c>
      <c r="J11" s="5" t="s">
        <v>487</v>
      </c>
    </row>
    <row r="12" spans="1:10" x14ac:dyDescent="0.25">
      <c r="A12" s="5" t="s">
        <v>15</v>
      </c>
      <c r="B12" s="5" t="s">
        <v>148</v>
      </c>
      <c r="C12" s="5" t="s">
        <v>21</v>
      </c>
      <c r="D12" s="5"/>
      <c r="E12" s="5" t="s">
        <v>488</v>
      </c>
      <c r="F12" s="5" t="s">
        <v>19</v>
      </c>
      <c r="G12" s="5" t="s">
        <v>41</v>
      </c>
      <c r="H12" s="5" t="s">
        <v>21</v>
      </c>
      <c r="I12" s="5" t="s">
        <v>21</v>
      </c>
      <c r="J12" s="5" t="s">
        <v>489</v>
      </c>
    </row>
    <row r="13" spans="1:10" x14ac:dyDescent="0.25">
      <c r="A13" s="5" t="s">
        <v>15</v>
      </c>
      <c r="B13" s="5" t="s">
        <v>56</v>
      </c>
      <c r="C13" s="5" t="s">
        <v>21</v>
      </c>
      <c r="D13" s="5"/>
      <c r="E13" s="5" t="s">
        <v>490</v>
      </c>
      <c r="F13" s="5" t="s">
        <v>19</v>
      </c>
      <c r="G13" s="5" t="s">
        <v>555</v>
      </c>
      <c r="H13" s="5" t="s">
        <v>21</v>
      </c>
      <c r="I13" s="5" t="s">
        <v>21</v>
      </c>
      <c r="J13" s="5" t="s">
        <v>492</v>
      </c>
    </row>
    <row r="14" spans="1:10" x14ac:dyDescent="0.25">
      <c r="A14" s="5" t="s">
        <v>15</v>
      </c>
      <c r="B14" s="5" t="s">
        <v>56</v>
      </c>
      <c r="C14" s="5" t="s">
        <v>21</v>
      </c>
      <c r="D14" s="5"/>
      <c r="E14" s="5" t="s">
        <v>493</v>
      </c>
      <c r="F14" s="5" t="s">
        <v>19</v>
      </c>
      <c r="G14" s="5" t="s">
        <v>556</v>
      </c>
      <c r="H14" s="5" t="s">
        <v>21</v>
      </c>
      <c r="I14" s="5" t="s">
        <v>21</v>
      </c>
      <c r="J14" s="5" t="s">
        <v>495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393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175</v>
      </c>
      <c r="C5" s="5" t="s">
        <v>21</v>
      </c>
      <c r="D5" s="5"/>
      <c r="E5" s="5" t="s">
        <v>396</v>
      </c>
      <c r="F5" s="5" t="s">
        <v>19</v>
      </c>
      <c r="G5" s="5" t="s">
        <v>177</v>
      </c>
      <c r="H5" s="5" t="s">
        <v>21</v>
      </c>
      <c r="I5" s="5" t="s">
        <v>21</v>
      </c>
      <c r="J5" s="5" t="s">
        <v>397</v>
      </c>
    </row>
    <row r="6" spans="1:10" x14ac:dyDescent="0.25">
      <c r="A6" s="5" t="s">
        <v>15</v>
      </c>
      <c r="B6" s="5" t="s">
        <v>175</v>
      </c>
      <c r="C6" s="5" t="s">
        <v>21</v>
      </c>
      <c r="D6" s="5"/>
      <c r="E6" s="5" t="s">
        <v>398</v>
      </c>
      <c r="F6" s="5" t="s">
        <v>19</v>
      </c>
      <c r="G6" s="5" t="s">
        <v>177</v>
      </c>
      <c r="H6" s="5" t="s">
        <v>21</v>
      </c>
      <c r="I6" s="5" t="s">
        <v>21</v>
      </c>
      <c r="J6" s="5" t="s">
        <v>399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557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313</v>
      </c>
      <c r="C5" s="5" t="s">
        <v>21</v>
      </c>
      <c r="D5" s="5"/>
      <c r="E5" s="5" t="s">
        <v>197</v>
      </c>
      <c r="F5" s="5" t="s">
        <v>19</v>
      </c>
      <c r="G5" s="5" t="s">
        <v>21</v>
      </c>
      <c r="H5" s="5" t="s">
        <v>21</v>
      </c>
      <c r="I5" s="5" t="s">
        <v>21</v>
      </c>
      <c r="J5" s="5" t="s">
        <v>198</v>
      </c>
    </row>
    <row r="6" spans="1:10" x14ac:dyDescent="0.25" outlineLevel="1" collapsed="1">
      <c r="A6" s="7" t="s">
        <v>15</v>
      </c>
      <c r="B6" s="7" t="s">
        <v>27</v>
      </c>
      <c r="C6" s="8" t="s">
        <v>314</v>
      </c>
      <c r="D6" s="7"/>
      <c r="E6" s="7" t="s">
        <v>200</v>
      </c>
      <c r="F6" s="7" t="s">
        <v>19</v>
      </c>
      <c r="G6" s="7" t="s">
        <v>201</v>
      </c>
      <c r="H6" s="7" t="s">
        <v>21</v>
      </c>
      <c r="I6" s="7" t="s">
        <v>21</v>
      </c>
      <c r="J6" s="7" t="s">
        <v>202</v>
      </c>
    </row>
    <row r="7" spans="1:10" x14ac:dyDescent="0.25" outlineLevel="1" collapsed="1">
      <c r="A7" s="9" t="s">
        <v>19</v>
      </c>
      <c r="B7" s="10" t="s">
        <v>203</v>
      </c>
      <c r="C7" s="9" t="s">
        <v>21</v>
      </c>
      <c r="D7" s="9">
        <f>EXACT(G6,"HWT, IWT")</f>
      </c>
      <c r="E7" s="9" t="s">
        <v>204</v>
      </c>
      <c r="F7" s="9" t="s">
        <v>19</v>
      </c>
      <c r="G7" s="9" t="s">
        <v>21</v>
      </c>
      <c r="H7" s="9" t="s">
        <v>21</v>
      </c>
      <c r="I7" s="9" t="s">
        <v>21</v>
      </c>
      <c r="J7" s="9" t="s">
        <v>205</v>
      </c>
    </row>
    <row r="8" spans="1:10" x14ac:dyDescent="0.25" outlineLevel="2" collapsed="1">
      <c r="A8" s="7" t="s">
        <v>15</v>
      </c>
      <c r="B8" s="7" t="s">
        <v>27</v>
      </c>
      <c r="C8" s="8" t="s">
        <v>206</v>
      </c>
      <c r="D8" s="7"/>
      <c r="E8" s="7" t="s">
        <v>204</v>
      </c>
      <c r="F8" s="7" t="s">
        <v>19</v>
      </c>
      <c r="G8" s="7" t="s">
        <v>207</v>
      </c>
      <c r="H8" s="7" t="s">
        <v>21</v>
      </c>
      <c r="I8" s="7" t="s">
        <v>21</v>
      </c>
      <c r="J8" s="7" t="s">
        <v>208</v>
      </c>
    </row>
    <row r="9" spans="1:10" x14ac:dyDescent="0.25" outlineLevel="2" collapsed="1">
      <c r="A9" s="7" t="s">
        <v>19</v>
      </c>
      <c r="B9" s="7" t="s">
        <v>148</v>
      </c>
      <c r="C9" s="7" t="s">
        <v>21</v>
      </c>
      <c r="D9" s="7">
        <f>EXACT(G8,"Other (specify)")</f>
      </c>
      <c r="E9" s="7" t="s">
        <v>209</v>
      </c>
      <c r="F9" s="7" t="s">
        <v>19</v>
      </c>
      <c r="G9" s="7" t="s">
        <v>41</v>
      </c>
      <c r="H9" s="7" t="s">
        <v>21</v>
      </c>
      <c r="I9" s="7" t="s">
        <v>21</v>
      </c>
      <c r="J9" s="7" t="s">
        <v>210</v>
      </c>
    </row>
    <row r="10" spans="1:10" x14ac:dyDescent="0.25" outlineLevel="1" collapsed="1">
      <c r="A10" s="7" t="s">
        <v>19</v>
      </c>
      <c r="B10" s="7" t="s">
        <v>148</v>
      </c>
      <c r="C10" s="7" t="s">
        <v>21</v>
      </c>
      <c r="D10" s="7">
        <f>EXACT(G6,"HWT, IWT")</f>
      </c>
      <c r="E10" s="7" t="s">
        <v>211</v>
      </c>
      <c r="F10" s="7" t="s">
        <v>19</v>
      </c>
      <c r="G10" s="7" t="s">
        <v>41</v>
      </c>
      <c r="H10" s="7" t="s">
        <v>21</v>
      </c>
      <c r="I10" s="7" t="s">
        <v>21</v>
      </c>
      <c r="J10" s="7" t="s">
        <v>212</v>
      </c>
    </row>
    <row r="11" spans="1:10" x14ac:dyDescent="0.25" outlineLevel="1" collapsed="1">
      <c r="A11" s="7" t="s">
        <v>19</v>
      </c>
      <c r="B11" s="7" t="s">
        <v>148</v>
      </c>
      <c r="C11" s="7" t="s">
        <v>21</v>
      </c>
      <c r="D11" s="7">
        <f>EXACT(G6,"HWT, IWT")</f>
      </c>
      <c r="E11" s="7" t="s">
        <v>213</v>
      </c>
      <c r="F11" s="7" t="s">
        <v>19</v>
      </c>
      <c r="G11" s="7" t="s">
        <v>41</v>
      </c>
      <c r="H11" s="7" t="s">
        <v>21</v>
      </c>
      <c r="I11" s="7" t="s">
        <v>21</v>
      </c>
      <c r="J11" s="7" t="s">
        <v>214</v>
      </c>
    </row>
    <row r="12" spans="1:10" x14ac:dyDescent="0.25" outlineLevel="1" collapsed="1">
      <c r="A12" s="7" t="s">
        <v>19</v>
      </c>
      <c r="B12" s="7" t="s">
        <v>148</v>
      </c>
      <c r="C12" s="7" t="s">
        <v>21</v>
      </c>
      <c r="D12" s="7">
        <f>EXACT(G6,"HWT, IWT")</f>
      </c>
      <c r="E12" s="7" t="s">
        <v>215</v>
      </c>
      <c r="F12" s="7" t="s">
        <v>19</v>
      </c>
      <c r="G12" s="7" t="s">
        <v>41</v>
      </c>
      <c r="H12" s="7" t="s">
        <v>21</v>
      </c>
      <c r="I12" s="7" t="s">
        <v>21</v>
      </c>
      <c r="J12" s="7" t="s">
        <v>216</v>
      </c>
    </row>
    <row r="13" spans="1:10" x14ac:dyDescent="0.25" outlineLevel="1" collapsed="1">
      <c r="A13" s="7" t="s">
        <v>19</v>
      </c>
      <c r="B13" s="7" t="s">
        <v>148</v>
      </c>
      <c r="C13" s="7" t="s">
        <v>21</v>
      </c>
      <c r="D13" s="7">
        <f>EXACT(G6,"HWT, IWT")</f>
      </c>
      <c r="E13" s="7" t="s">
        <v>217</v>
      </c>
      <c r="F13" s="7" t="s">
        <v>19</v>
      </c>
      <c r="G13" s="7" t="s">
        <v>41</v>
      </c>
      <c r="H13" s="7" t="s">
        <v>21</v>
      </c>
      <c r="I13" s="7" t="s">
        <v>21</v>
      </c>
      <c r="J13" s="7" t="s">
        <v>218</v>
      </c>
    </row>
    <row r="14" spans="1:10" x14ac:dyDescent="0.25" outlineLevel="1" collapsed="1">
      <c r="A14" s="7" t="s">
        <v>19</v>
      </c>
      <c r="B14" s="7" t="s">
        <v>167</v>
      </c>
      <c r="C14" s="7" t="s">
        <v>21</v>
      </c>
      <c r="D14" s="7">
        <f>EXACT(G6,"HWT, IWT")</f>
      </c>
      <c r="E14" s="7" t="s">
        <v>219</v>
      </c>
      <c r="F14" s="7" t="s">
        <v>19</v>
      </c>
      <c r="G14" s="7">
        <v>1</v>
      </c>
      <c r="H14" s="7" t="s">
        <v>21</v>
      </c>
      <c r="I14" s="7" t="s">
        <v>21</v>
      </c>
      <c r="J14" s="7" t="s">
        <v>220</v>
      </c>
    </row>
    <row r="15" spans="1:10" x14ac:dyDescent="0.25" outlineLevel="1" collapsed="1">
      <c r="A15" s="7" t="s">
        <v>19</v>
      </c>
      <c r="B15" s="7" t="s">
        <v>148</v>
      </c>
      <c r="C15" s="7" t="s">
        <v>21</v>
      </c>
      <c r="D15" s="7">
        <f>EXACT(G6,"HWT, IWT")</f>
      </c>
      <c r="E15" s="7" t="s">
        <v>221</v>
      </c>
      <c r="F15" s="7" t="s">
        <v>19</v>
      </c>
      <c r="G15" s="7" t="s">
        <v>41</v>
      </c>
      <c r="H15" s="7" t="s">
        <v>21</v>
      </c>
      <c r="I15" s="7" t="s">
        <v>21</v>
      </c>
      <c r="J15" s="7" t="s">
        <v>222</v>
      </c>
    </row>
    <row r="16" spans="1:10" x14ac:dyDescent="0.25" outlineLevel="1" collapsed="1">
      <c r="A16" s="7" t="s">
        <v>19</v>
      </c>
      <c r="B16" s="7" t="s">
        <v>167</v>
      </c>
      <c r="C16" s="7" t="s">
        <v>21</v>
      </c>
      <c r="D16" s="7">
        <f>EXACT(G6,"HWT, IWT")</f>
      </c>
      <c r="E16" s="7" t="s">
        <v>223</v>
      </c>
      <c r="F16" s="7" t="s">
        <v>19</v>
      </c>
      <c r="G16" s="7">
        <v>1</v>
      </c>
      <c r="H16" s="7" t="s">
        <v>21</v>
      </c>
      <c r="I16" s="7" t="s">
        <v>21</v>
      </c>
      <c r="J16" s="7" t="s">
        <v>224</v>
      </c>
    </row>
    <row r="17" spans="1:10" x14ac:dyDescent="0.25" outlineLevel="1" collapsed="1">
      <c r="A17" s="7" t="s">
        <v>19</v>
      </c>
      <c r="B17" s="7" t="s">
        <v>167</v>
      </c>
      <c r="C17" s="7" t="s">
        <v>21</v>
      </c>
      <c r="D17" s="7">
        <f>EXACT(G6,"HWT, IWT")</f>
      </c>
      <c r="E17" s="7" t="s">
        <v>225</v>
      </c>
      <c r="F17" s="7" t="s">
        <v>19</v>
      </c>
      <c r="G17" s="7">
        <v>1</v>
      </c>
      <c r="H17" s="7" t="s">
        <v>21</v>
      </c>
      <c r="I17" s="7" t="s">
        <v>21</v>
      </c>
      <c r="J17" s="7" t="s">
        <v>226</v>
      </c>
    </row>
    <row r="18" spans="1:10" x14ac:dyDescent="0.25" outlineLevel="1" collapsed="1">
      <c r="A18" s="7" t="s">
        <v>19</v>
      </c>
      <c r="B18" s="7" t="s">
        <v>148</v>
      </c>
      <c r="C18" s="7" t="s">
        <v>21</v>
      </c>
      <c r="D18" s="7">
        <f>EXACT(G6,"HWT, IWT")</f>
      </c>
      <c r="E18" s="7" t="s">
        <v>227</v>
      </c>
      <c r="F18" s="7" t="s">
        <v>19</v>
      </c>
      <c r="G18" s="7" t="s">
        <v>41</v>
      </c>
      <c r="H18" s="7" t="s">
        <v>21</v>
      </c>
      <c r="I18" s="7" t="s">
        <v>21</v>
      </c>
      <c r="J18" s="7" t="s">
        <v>228</v>
      </c>
    </row>
    <row r="19" spans="1:10" x14ac:dyDescent="0.25" outlineLevel="1" collapsed="1">
      <c r="A19" s="9" t="s">
        <v>19</v>
      </c>
      <c r="B19" s="10" t="s">
        <v>204</v>
      </c>
      <c r="C19" s="9" t="s">
        <v>21</v>
      </c>
      <c r="D19" s="9">
        <f>EXACT(G6,"CWT, CWS")</f>
      </c>
      <c r="E19" s="9" t="s">
        <v>204</v>
      </c>
      <c r="F19" s="9" t="s">
        <v>19</v>
      </c>
      <c r="G19" s="9" t="s">
        <v>21</v>
      </c>
      <c r="H19" s="9" t="s">
        <v>21</v>
      </c>
      <c r="I19" s="9" t="s">
        <v>21</v>
      </c>
      <c r="J19" s="9" t="s">
        <v>229</v>
      </c>
    </row>
    <row r="20" spans="1:10" x14ac:dyDescent="0.25" outlineLevel="2" collapsed="1">
      <c r="A20" s="7" t="s">
        <v>15</v>
      </c>
      <c r="B20" s="7" t="s">
        <v>27</v>
      </c>
      <c r="C20" s="8" t="s">
        <v>230</v>
      </c>
      <c r="D20" s="7"/>
      <c r="E20" s="7" t="s">
        <v>204</v>
      </c>
      <c r="F20" s="7" t="s">
        <v>19</v>
      </c>
      <c r="G20" s="7" t="s">
        <v>231</v>
      </c>
      <c r="H20" s="7" t="s">
        <v>21</v>
      </c>
      <c r="I20" s="7" t="s">
        <v>21</v>
      </c>
      <c r="J20" s="7" t="s">
        <v>232</v>
      </c>
    </row>
    <row r="21" spans="1:10" x14ac:dyDescent="0.25" outlineLevel="2" collapsed="1">
      <c r="A21" s="7" t="s">
        <v>19</v>
      </c>
      <c r="B21" s="7" t="s">
        <v>148</v>
      </c>
      <c r="C21" s="7" t="s">
        <v>21</v>
      </c>
      <c r="D21" s="7">
        <f>EXACT(G20,"Other (specify)")</f>
      </c>
      <c r="E21" s="7" t="s">
        <v>209</v>
      </c>
      <c r="F21" s="7" t="s">
        <v>19</v>
      </c>
      <c r="G21" s="7" t="s">
        <v>41</v>
      </c>
      <c r="H21" s="7" t="s">
        <v>21</v>
      </c>
      <c r="I21" s="7" t="s">
        <v>21</v>
      </c>
      <c r="J21" s="7" t="s">
        <v>210</v>
      </c>
    </row>
    <row r="22" spans="1:10" x14ac:dyDescent="0.25" outlineLevel="1" collapsed="1">
      <c r="A22" s="7" t="s">
        <v>19</v>
      </c>
      <c r="B22" s="7" t="s">
        <v>148</v>
      </c>
      <c r="C22" s="7" t="s">
        <v>21</v>
      </c>
      <c r="D22" s="7">
        <f>EXACT(G6,"CWT, CWS")</f>
      </c>
      <c r="E22" s="7" t="s">
        <v>211</v>
      </c>
      <c r="F22" s="7" t="s">
        <v>19</v>
      </c>
      <c r="G22" s="7" t="s">
        <v>41</v>
      </c>
      <c r="H22" s="7" t="s">
        <v>21</v>
      </c>
      <c r="I22" s="7" t="s">
        <v>21</v>
      </c>
      <c r="J22" s="7" t="s">
        <v>233</v>
      </c>
    </row>
    <row r="23" spans="1:10" x14ac:dyDescent="0.25" outlineLevel="1" collapsed="1">
      <c r="A23" s="7" t="s">
        <v>19</v>
      </c>
      <c r="B23" s="7" t="s">
        <v>148</v>
      </c>
      <c r="C23" s="7" t="s">
        <v>21</v>
      </c>
      <c r="D23" s="7">
        <f>EXACT(G6,"CWT, CWS")</f>
      </c>
      <c r="E23" s="7" t="s">
        <v>234</v>
      </c>
      <c r="F23" s="7" t="s">
        <v>19</v>
      </c>
      <c r="G23" s="7" t="s">
        <v>41</v>
      </c>
      <c r="H23" s="7" t="s">
        <v>21</v>
      </c>
      <c r="I23" s="7" t="s">
        <v>21</v>
      </c>
      <c r="J23" s="7" t="s">
        <v>235</v>
      </c>
    </row>
    <row r="24" spans="1:10" x14ac:dyDescent="0.25" outlineLevel="1" collapsed="1">
      <c r="A24" s="7" t="s">
        <v>19</v>
      </c>
      <c r="B24" s="7" t="s">
        <v>148</v>
      </c>
      <c r="C24" s="7" t="s">
        <v>21</v>
      </c>
      <c r="D24" s="7">
        <f>EXACT(G6,"CWT, CWS")</f>
      </c>
      <c r="E24" s="7" t="s">
        <v>236</v>
      </c>
      <c r="F24" s="7" t="s">
        <v>19</v>
      </c>
      <c r="G24" s="7" t="s">
        <v>41</v>
      </c>
      <c r="H24" s="7" t="s">
        <v>21</v>
      </c>
      <c r="I24" s="7" t="s">
        <v>21</v>
      </c>
      <c r="J24" s="7" t="s">
        <v>237</v>
      </c>
    </row>
    <row r="25" spans="1:10" x14ac:dyDescent="0.25" outlineLevel="1" collapsed="1">
      <c r="A25" s="7" t="s">
        <v>19</v>
      </c>
      <c r="B25" s="7" t="s">
        <v>167</v>
      </c>
      <c r="C25" s="7" t="s">
        <v>21</v>
      </c>
      <c r="D25" s="7">
        <f>EXACT(G6,"CWT, CWS")</f>
      </c>
      <c r="E25" s="7" t="s">
        <v>238</v>
      </c>
      <c r="F25" s="7" t="s">
        <v>19</v>
      </c>
      <c r="G25" s="7">
        <v>1</v>
      </c>
      <c r="H25" s="7" t="s">
        <v>21</v>
      </c>
      <c r="I25" s="7" t="s">
        <v>21</v>
      </c>
      <c r="J25" s="7" t="s">
        <v>239</v>
      </c>
    </row>
    <row r="26" spans="1:10" x14ac:dyDescent="0.25" outlineLevel="1" collapsed="1">
      <c r="A26" s="7" t="s">
        <v>19</v>
      </c>
      <c r="B26" s="7" t="s">
        <v>167</v>
      </c>
      <c r="C26" s="7" t="s">
        <v>21</v>
      </c>
      <c r="D26" s="7">
        <f>EXACT(G6,"CWT, CWS")</f>
      </c>
      <c r="E26" s="7" t="s">
        <v>240</v>
      </c>
      <c r="F26" s="7" t="s">
        <v>19</v>
      </c>
      <c r="G26" s="7">
        <v>1</v>
      </c>
      <c r="H26" s="7" t="s">
        <v>21</v>
      </c>
      <c r="I26" s="7" t="s">
        <v>21</v>
      </c>
      <c r="J26" s="7" t="s">
        <v>241</v>
      </c>
    </row>
    <row r="27" spans="1:10" x14ac:dyDescent="0.25" outlineLevel="1" collapsed="1">
      <c r="A27" s="7" t="s">
        <v>19</v>
      </c>
      <c r="B27" s="7" t="s">
        <v>148</v>
      </c>
      <c r="C27" s="7" t="s">
        <v>21</v>
      </c>
      <c r="D27" s="7">
        <f>EXACT(G6,"CWT, CWS")</f>
      </c>
      <c r="E27" s="7" t="s">
        <v>215</v>
      </c>
      <c r="F27" s="7" t="s">
        <v>19</v>
      </c>
      <c r="G27" s="7" t="s">
        <v>41</v>
      </c>
      <c r="H27" s="7" t="s">
        <v>21</v>
      </c>
      <c r="I27" s="7" t="s">
        <v>21</v>
      </c>
      <c r="J27" s="7" t="s">
        <v>242</v>
      </c>
    </row>
    <row r="28" spans="1:10" x14ac:dyDescent="0.25" outlineLevel="1" collapsed="1">
      <c r="A28" s="7" t="s">
        <v>19</v>
      </c>
      <c r="B28" s="7" t="s">
        <v>148</v>
      </c>
      <c r="C28" s="7" t="s">
        <v>21</v>
      </c>
      <c r="D28" s="7">
        <f>EXACT(G6,"CWT, CWS")</f>
      </c>
      <c r="E28" s="7" t="s">
        <v>217</v>
      </c>
      <c r="F28" s="7" t="s">
        <v>19</v>
      </c>
      <c r="G28" s="7" t="s">
        <v>41</v>
      </c>
      <c r="H28" s="7" t="s">
        <v>21</v>
      </c>
      <c r="I28" s="7" t="s">
        <v>21</v>
      </c>
      <c r="J28" s="7" t="s">
        <v>243</v>
      </c>
    </row>
    <row r="29" spans="1:10" x14ac:dyDescent="0.25" outlineLevel="1" collapsed="1">
      <c r="A29" s="7" t="s">
        <v>19</v>
      </c>
      <c r="B29" s="7" t="s">
        <v>148</v>
      </c>
      <c r="C29" s="7" t="s">
        <v>21</v>
      </c>
      <c r="D29" s="7">
        <f>EXACT(G6,"CWT, CWS")</f>
      </c>
      <c r="E29" s="7" t="s">
        <v>244</v>
      </c>
      <c r="F29" s="7" t="s">
        <v>19</v>
      </c>
      <c r="G29" s="7" t="s">
        <v>41</v>
      </c>
      <c r="H29" s="7" t="s">
        <v>21</v>
      </c>
      <c r="I29" s="7" t="s">
        <v>21</v>
      </c>
      <c r="J29" s="7" t="s">
        <v>245</v>
      </c>
    </row>
    <row r="30" spans="1:10" x14ac:dyDescent="0.25" outlineLevel="1" collapsed="1">
      <c r="A30" s="7" t="s">
        <v>19</v>
      </c>
      <c r="B30" s="7" t="s">
        <v>246</v>
      </c>
      <c r="C30" s="7" t="s">
        <v>21</v>
      </c>
      <c r="D30" s="7">
        <f>EXACT(G6,"CWT, CWS")</f>
      </c>
      <c r="E30" s="7" t="s">
        <v>247</v>
      </c>
      <c r="F30" s="7" t="s">
        <v>19</v>
      </c>
      <c r="G30" s="7" t="b">
        <v>1</v>
      </c>
      <c r="H30" s="7" t="s">
        <v>21</v>
      </c>
      <c r="I30" s="7" t="s">
        <v>21</v>
      </c>
      <c r="J30" s="7" t="s">
        <v>248</v>
      </c>
    </row>
    <row r="31" spans="1:10" x14ac:dyDescent="0.25" outlineLevel="1" collapsed="1">
      <c r="A31" s="7" t="s">
        <v>19</v>
      </c>
      <c r="B31" s="7" t="s">
        <v>148</v>
      </c>
      <c r="C31" s="7" t="s">
        <v>21</v>
      </c>
      <c r="D31" s="7">
        <f>EXACT(G6,"CWT, CWS")</f>
      </c>
      <c r="E31" s="7" t="s">
        <v>115</v>
      </c>
      <c r="F31" s="7" t="s">
        <v>19</v>
      </c>
      <c r="G31" s="7" t="s">
        <v>41</v>
      </c>
      <c r="H31" s="7" t="s">
        <v>21</v>
      </c>
      <c r="I31" s="7" t="s">
        <v>21</v>
      </c>
      <c r="J31" s="7" t="s">
        <v>249</v>
      </c>
    </row>
    <row r="32" spans="1:10" x14ac:dyDescent="0.25" outlineLevel="1" collapsed="1">
      <c r="A32" s="7" t="s">
        <v>19</v>
      </c>
      <c r="B32" s="7" t="s">
        <v>148</v>
      </c>
      <c r="C32" s="7" t="s">
        <v>21</v>
      </c>
      <c r="D32" s="7">
        <f>EXACT(G6,"CWT, CWS")</f>
      </c>
      <c r="E32" s="7" t="s">
        <v>250</v>
      </c>
      <c r="F32" s="7" t="s">
        <v>19</v>
      </c>
      <c r="G32" s="7" t="s">
        <v>41</v>
      </c>
      <c r="H32" s="7" t="s">
        <v>21</v>
      </c>
      <c r="I32" s="7" t="s">
        <v>21</v>
      </c>
      <c r="J32" s="7" t="s">
        <v>251</v>
      </c>
    </row>
    <row r="33" spans="1:10" x14ac:dyDescent="0.25" outlineLevel="1" collapsed="1">
      <c r="A33" s="7" t="s">
        <v>19</v>
      </c>
      <c r="B33" s="7" t="s">
        <v>56</v>
      </c>
      <c r="C33" s="7" t="s">
        <v>21</v>
      </c>
      <c r="D33" s="7">
        <f>EXACT(G6,"CWT, CWS")</f>
      </c>
      <c r="E33" s="7" t="s">
        <v>252</v>
      </c>
      <c r="F33" s="7" t="s">
        <v>19</v>
      </c>
      <c r="G33" s="7" t="s">
        <v>558</v>
      </c>
      <c r="H33" s="7" t="s">
        <v>21</v>
      </c>
      <c r="I33" s="7" t="s">
        <v>21</v>
      </c>
      <c r="J33" s="7" t="s">
        <v>254</v>
      </c>
    </row>
    <row r="34" spans="1:10" x14ac:dyDescent="0.25" outlineLevel="1" collapsed="1">
      <c r="A34" s="9" t="s">
        <v>19</v>
      </c>
      <c r="B34" s="10" t="s">
        <v>255</v>
      </c>
      <c r="C34" s="9" t="s">
        <v>21</v>
      </c>
      <c r="D34" s="9">
        <f>EXACT(G6,"CWT, CWS")</f>
      </c>
      <c r="E34" s="9" t="s">
        <v>256</v>
      </c>
      <c r="F34" s="9" t="s">
        <v>19</v>
      </c>
      <c r="G34" s="9" t="s">
        <v>21</v>
      </c>
      <c r="H34" s="9" t="s">
        <v>21</v>
      </c>
      <c r="I34" s="9" t="s">
        <v>21</v>
      </c>
      <c r="J34" s="9" t="s">
        <v>257</v>
      </c>
    </row>
    <row r="35" spans="1:10" x14ac:dyDescent="0.25" outlineLevel="2" collapsed="1">
      <c r="A35" s="7" t="s">
        <v>15</v>
      </c>
      <c r="B35" s="7" t="s">
        <v>246</v>
      </c>
      <c r="C35" s="7" t="s">
        <v>21</v>
      </c>
      <c r="D35" s="7"/>
      <c r="E35" s="7" t="s">
        <v>258</v>
      </c>
      <c r="F35" s="7" t="s">
        <v>19</v>
      </c>
      <c r="G35" s="7" t="b">
        <v>1</v>
      </c>
      <c r="H35" s="7" t="s">
        <v>21</v>
      </c>
      <c r="I35" s="7" t="s">
        <v>21</v>
      </c>
      <c r="J35" s="7" t="s">
        <v>259</v>
      </c>
    </row>
    <row r="36" spans="1:10" x14ac:dyDescent="0.25" outlineLevel="2" collapsed="1">
      <c r="A36" s="7" t="s">
        <v>19</v>
      </c>
      <c r="B36" s="7" t="s">
        <v>175</v>
      </c>
      <c r="C36" s="7" t="s">
        <v>21</v>
      </c>
      <c r="D36" s="7">
        <f>EXACT(G35,true)</f>
      </c>
      <c r="E36" s="7" t="s">
        <v>260</v>
      </c>
      <c r="F36" s="7" t="s">
        <v>19</v>
      </c>
      <c r="G36" s="7" t="s">
        <v>177</v>
      </c>
      <c r="H36" s="7" t="s">
        <v>21</v>
      </c>
      <c r="I36" s="7" t="s">
        <v>21</v>
      </c>
      <c r="J36" s="7" t="s">
        <v>261</v>
      </c>
    </row>
    <row r="37" spans="1:10" x14ac:dyDescent="0.25" outlineLevel="2" collapsed="1">
      <c r="A37" s="7" t="s">
        <v>19</v>
      </c>
      <c r="B37" s="7" t="s">
        <v>16</v>
      </c>
      <c r="C37" s="7" t="s">
        <v>262</v>
      </c>
      <c r="D37" s="7">
        <f>EXACT(G35,true)</f>
      </c>
      <c r="E37" s="7" t="s">
        <v>263</v>
      </c>
      <c r="F37" s="7" t="s">
        <v>19</v>
      </c>
      <c r="G37" s="7" t="s">
        <v>559</v>
      </c>
      <c r="H37" s="7" t="s">
        <v>21</v>
      </c>
      <c r="I37" s="7" t="s">
        <v>21</v>
      </c>
      <c r="J37" s="7" t="s">
        <v>265</v>
      </c>
    </row>
    <row r="38" spans="1:10" x14ac:dyDescent="0.25" outlineLevel="2" collapsed="1">
      <c r="A38" s="7" t="s">
        <v>19</v>
      </c>
      <c r="B38" s="7" t="s">
        <v>175</v>
      </c>
      <c r="C38" s="7" t="s">
        <v>21</v>
      </c>
      <c r="D38" s="7">
        <f>EXACT(G35,true)</f>
      </c>
      <c r="E38" s="7" t="s">
        <v>266</v>
      </c>
      <c r="F38" s="7" t="s">
        <v>19</v>
      </c>
      <c r="G38" s="7" t="s">
        <v>177</v>
      </c>
      <c r="H38" s="7" t="s">
        <v>21</v>
      </c>
      <c r="I38" s="7" t="s">
        <v>21</v>
      </c>
      <c r="J38" s="7" t="s">
        <v>267</v>
      </c>
    </row>
    <row r="39" spans="1:10" x14ac:dyDescent="0.25" outlineLevel="2" collapsed="1">
      <c r="A39" s="7" t="s">
        <v>19</v>
      </c>
      <c r="B39" s="7" t="s">
        <v>56</v>
      </c>
      <c r="C39" s="7" t="s">
        <v>21</v>
      </c>
      <c r="D39" s="7">
        <f>EXACT(G35,true)</f>
      </c>
      <c r="E39" s="7" t="s">
        <v>268</v>
      </c>
      <c r="F39" s="7" t="s">
        <v>19</v>
      </c>
      <c r="G39" s="7" t="s">
        <v>560</v>
      </c>
      <c r="H39" s="7" t="s">
        <v>21</v>
      </c>
      <c r="I39" s="7" t="s">
        <v>21</v>
      </c>
      <c r="J39" s="7" t="s">
        <v>270</v>
      </c>
    </row>
    <row r="40" spans="1:10" x14ac:dyDescent="0.25" outlineLevel="2" collapsed="1">
      <c r="A40" s="7" t="s">
        <v>19</v>
      </c>
      <c r="B40" s="7" t="s">
        <v>56</v>
      </c>
      <c r="C40" s="7" t="s">
        <v>21</v>
      </c>
      <c r="D40" s="7">
        <f>EXACT(G35,true)</f>
      </c>
      <c r="E40" s="7" t="s">
        <v>271</v>
      </c>
      <c r="F40" s="7" t="s">
        <v>19</v>
      </c>
      <c r="G40" s="7" t="s">
        <v>561</v>
      </c>
      <c r="H40" s="7" t="s">
        <v>21</v>
      </c>
      <c r="I40" s="7" t="s">
        <v>21</v>
      </c>
      <c r="J40" s="7" t="s">
        <v>273</v>
      </c>
    </row>
    <row r="41" spans="1:10" x14ac:dyDescent="0.25" outlineLevel="1" collapsed="1">
      <c r="A41" s="9" t="s">
        <v>19</v>
      </c>
      <c r="B41" s="10" t="s">
        <v>319</v>
      </c>
      <c r="C41" s="9" t="s">
        <v>21</v>
      </c>
      <c r="D41" s="9">
        <f>EXACT(G6,"CWT, CWS")</f>
      </c>
      <c r="E41" s="9" t="s">
        <v>320</v>
      </c>
      <c r="F41" s="9" t="s">
        <v>19</v>
      </c>
      <c r="G41" s="9" t="s">
        <v>21</v>
      </c>
      <c r="H41" s="9" t="s">
        <v>21</v>
      </c>
      <c r="I41" s="9" t="s">
        <v>21</v>
      </c>
      <c r="J41" s="9" t="s">
        <v>321</v>
      </c>
    </row>
    <row r="42" spans="1:10" x14ac:dyDescent="0.25" outlineLevel="2" collapsed="1">
      <c r="A42" s="7" t="s">
        <v>15</v>
      </c>
      <c r="B42" s="7" t="s">
        <v>148</v>
      </c>
      <c r="C42" s="7" t="s">
        <v>21</v>
      </c>
      <c r="D42" s="7"/>
      <c r="E42" s="7" t="s">
        <v>322</v>
      </c>
      <c r="F42" s="7" t="s">
        <v>19</v>
      </c>
      <c r="G42" s="7" t="s">
        <v>41</v>
      </c>
      <c r="H42" s="7" t="s">
        <v>21</v>
      </c>
      <c r="I42" s="7" t="s">
        <v>21</v>
      </c>
      <c r="J42" s="7" t="s">
        <v>323</v>
      </c>
    </row>
    <row r="43" spans="1:10" x14ac:dyDescent="0.25" outlineLevel="2" collapsed="1">
      <c r="A43" s="7" t="s">
        <v>15</v>
      </c>
      <c r="B43" s="7" t="s">
        <v>148</v>
      </c>
      <c r="C43" s="7" t="s">
        <v>21</v>
      </c>
      <c r="D43" s="7"/>
      <c r="E43" s="7" t="s">
        <v>324</v>
      </c>
      <c r="F43" s="7" t="s">
        <v>19</v>
      </c>
      <c r="G43" s="7" t="s">
        <v>41</v>
      </c>
      <c r="H43" s="7" t="s">
        <v>21</v>
      </c>
      <c r="I43" s="7" t="s">
        <v>21</v>
      </c>
      <c r="J43" s="7" t="s">
        <v>325</v>
      </c>
    </row>
    <row r="44" spans="1:10" x14ac:dyDescent="0.25" outlineLevel="2" collapsed="1">
      <c r="A44" s="7" t="s">
        <v>15</v>
      </c>
      <c r="B44" s="7" t="s">
        <v>148</v>
      </c>
      <c r="C44" s="7" t="s">
        <v>21</v>
      </c>
      <c r="D44" s="7"/>
      <c r="E44" s="7" t="s">
        <v>326</v>
      </c>
      <c r="F44" s="7" t="s">
        <v>19</v>
      </c>
      <c r="G44" s="7" t="s">
        <v>41</v>
      </c>
      <c r="H44" s="7" t="s">
        <v>21</v>
      </c>
      <c r="I44" s="7" t="s">
        <v>21</v>
      </c>
      <c r="J44" s="7" t="s">
        <v>327</v>
      </c>
    </row>
    <row r="45" spans="1:10" x14ac:dyDescent="0.25" outlineLevel="2" collapsed="1">
      <c r="A45" s="7" t="s">
        <v>15</v>
      </c>
      <c r="B45" s="7" t="s">
        <v>148</v>
      </c>
      <c r="C45" s="7" t="s">
        <v>21</v>
      </c>
      <c r="D45" s="7"/>
      <c r="E45" s="7" t="s">
        <v>328</v>
      </c>
      <c r="F45" s="7" t="s">
        <v>19</v>
      </c>
      <c r="G45" s="7" t="s">
        <v>41</v>
      </c>
      <c r="H45" s="7" t="s">
        <v>21</v>
      </c>
      <c r="I45" s="7" t="s">
        <v>21</v>
      </c>
      <c r="J45" s="7" t="s">
        <v>329</v>
      </c>
    </row>
    <row r="46" spans="1:10" x14ac:dyDescent="0.25" outlineLevel="2" collapsed="1">
      <c r="A46" s="7" t="s">
        <v>15</v>
      </c>
      <c r="B46" s="7" t="s">
        <v>56</v>
      </c>
      <c r="C46" s="7" t="s">
        <v>21</v>
      </c>
      <c r="D46" s="7"/>
      <c r="E46" s="7" t="s">
        <v>330</v>
      </c>
      <c r="F46" s="7" t="s">
        <v>19</v>
      </c>
      <c r="G46" s="7" t="s">
        <v>562</v>
      </c>
      <c r="H46" s="7" t="s">
        <v>21</v>
      </c>
      <c r="I46" s="7" t="s">
        <v>21</v>
      </c>
      <c r="J46" s="7" t="s">
        <v>332</v>
      </c>
    </row>
    <row r="47" spans="1:10" x14ac:dyDescent="0.25">
      <c r="A47" s="5" t="s">
        <v>15</v>
      </c>
      <c r="B47" s="5" t="s">
        <v>148</v>
      </c>
      <c r="C47" s="5" t="s">
        <v>21</v>
      </c>
      <c r="D47" s="5"/>
      <c r="E47" s="5" t="s">
        <v>274</v>
      </c>
      <c r="F47" s="5" t="s">
        <v>19</v>
      </c>
      <c r="G47" s="5" t="s">
        <v>41</v>
      </c>
      <c r="H47" s="5" t="s">
        <v>21</v>
      </c>
      <c r="I47" s="5" t="s">
        <v>21</v>
      </c>
      <c r="J47" s="5" t="s">
        <v>275</v>
      </c>
    </row>
  </sheetData>
  <mergeCells count="3">
    <mergeCell ref="A1:J1"/>
    <mergeCell ref="B2:J2"/>
    <mergeCell ref="B3:J3"/>
  </mergeCells>
  <dataValidations count="3">
    <dataValidation type="list" allowBlank="1" sqref="G20:I20">
      <formula1>'Treatment Technology Su (enum)'!A4:A9</formula1>
    </dataValidation>
    <dataValidation type="list" allowBlank="1" sqref="G6:I6">
      <formula1>'Treatment Technology 3 (enum)'!A4:A5</formula1>
    </dataValidation>
    <dataValidation type="list" allowBlank="1" sqref="G8:I8">
      <formula1>'Treatment Technology 2 (enum)'!A4:A9</formula1>
    </dataValidation>
  </dataValidations>
  <hyperlinks>
    <hyperlink ref="B5" r:id="rId1" location="#'Water Treatment Technology  2'!A1"/>
    <hyperlink ref="C6" r:id="rId2" location="#'Treatment Technology 3 (enum)'!A3"/>
    <hyperlink ref="B7" r:id="rId3" location="#'Treatment Technology Sub-ty 2'!A1"/>
    <hyperlink ref="C8" r:id="rId4" location="#'Treatment Technology 2 (enum)'!A3"/>
    <hyperlink ref="B19" r:id="rId5" location="#'Treatment Technology Sub-type'!A1"/>
    <hyperlink ref="C20" r:id="rId6" location="#'Treatment Technology Su (enum)'!A3"/>
    <hyperlink ref="B34" r:id="rId7" location="#'If the Project Installation is'!A1"/>
    <hyperlink ref="B41" r:id="rId8" location="#'Maintenance Plan for CWTCW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563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27</v>
      </c>
      <c r="C5" s="6" t="s">
        <v>314</v>
      </c>
      <c r="D5" s="5"/>
      <c r="E5" s="5" t="s">
        <v>200</v>
      </c>
      <c r="F5" s="5" t="s">
        <v>19</v>
      </c>
      <c r="G5" s="5" t="s">
        <v>201</v>
      </c>
      <c r="H5" s="5" t="s">
        <v>21</v>
      </c>
      <c r="I5" s="5" t="s">
        <v>21</v>
      </c>
      <c r="J5" s="5" t="s">
        <v>202</v>
      </c>
    </row>
    <row r="6" spans="1:10" x14ac:dyDescent="0.25">
      <c r="A6" s="5" t="s">
        <v>19</v>
      </c>
      <c r="B6" s="6" t="s">
        <v>203</v>
      </c>
      <c r="C6" s="5" t="s">
        <v>21</v>
      </c>
      <c r="D6" s="5">
        <f>EXACT(G5,"HWT, IWT")</f>
      </c>
      <c r="E6" s="5" t="s">
        <v>204</v>
      </c>
      <c r="F6" s="5" t="s">
        <v>19</v>
      </c>
      <c r="G6" s="5" t="s">
        <v>21</v>
      </c>
      <c r="H6" s="5" t="s">
        <v>21</v>
      </c>
      <c r="I6" s="5" t="s">
        <v>21</v>
      </c>
      <c r="J6" s="5" t="s">
        <v>205</v>
      </c>
    </row>
    <row r="7" spans="1:10" x14ac:dyDescent="0.25" outlineLevel="1" collapsed="1">
      <c r="A7" s="7" t="s">
        <v>15</v>
      </c>
      <c r="B7" s="7" t="s">
        <v>27</v>
      </c>
      <c r="C7" s="8" t="s">
        <v>206</v>
      </c>
      <c r="D7" s="7"/>
      <c r="E7" s="7" t="s">
        <v>204</v>
      </c>
      <c r="F7" s="7" t="s">
        <v>19</v>
      </c>
      <c r="G7" s="7" t="s">
        <v>207</v>
      </c>
      <c r="H7" s="7" t="s">
        <v>21</v>
      </c>
      <c r="I7" s="7" t="s">
        <v>21</v>
      </c>
      <c r="J7" s="7" t="s">
        <v>208</v>
      </c>
    </row>
    <row r="8" spans="1:10" x14ac:dyDescent="0.25" outlineLevel="1" collapsed="1">
      <c r="A8" s="7" t="s">
        <v>19</v>
      </c>
      <c r="B8" s="7" t="s">
        <v>148</v>
      </c>
      <c r="C8" s="7" t="s">
        <v>21</v>
      </c>
      <c r="D8" s="7">
        <f>EXACT(G7,"Other (specify)")</f>
      </c>
      <c r="E8" s="7" t="s">
        <v>209</v>
      </c>
      <c r="F8" s="7" t="s">
        <v>19</v>
      </c>
      <c r="G8" s="7" t="s">
        <v>41</v>
      </c>
      <c r="H8" s="7" t="s">
        <v>21</v>
      </c>
      <c r="I8" s="7" t="s">
        <v>21</v>
      </c>
      <c r="J8" s="7" t="s">
        <v>210</v>
      </c>
    </row>
    <row r="9" spans="1:10" x14ac:dyDescent="0.25">
      <c r="A9" s="5" t="s">
        <v>19</v>
      </c>
      <c r="B9" s="5" t="s">
        <v>148</v>
      </c>
      <c r="C9" s="5" t="s">
        <v>21</v>
      </c>
      <c r="D9" s="5">
        <f>EXACT(G5,"HWT, IWT")</f>
      </c>
      <c r="E9" s="5" t="s">
        <v>211</v>
      </c>
      <c r="F9" s="5" t="s">
        <v>19</v>
      </c>
      <c r="G9" s="5" t="s">
        <v>41</v>
      </c>
      <c r="H9" s="5" t="s">
        <v>21</v>
      </c>
      <c r="I9" s="5" t="s">
        <v>21</v>
      </c>
      <c r="J9" s="5" t="s">
        <v>212</v>
      </c>
    </row>
    <row r="10" spans="1:10" x14ac:dyDescent="0.25">
      <c r="A10" s="5" t="s">
        <v>19</v>
      </c>
      <c r="B10" s="5" t="s">
        <v>148</v>
      </c>
      <c r="C10" s="5" t="s">
        <v>21</v>
      </c>
      <c r="D10" s="5">
        <f>EXACT(G5,"HWT, IWT")</f>
      </c>
      <c r="E10" s="5" t="s">
        <v>213</v>
      </c>
      <c r="F10" s="5" t="s">
        <v>19</v>
      </c>
      <c r="G10" s="5" t="s">
        <v>41</v>
      </c>
      <c r="H10" s="5" t="s">
        <v>21</v>
      </c>
      <c r="I10" s="5" t="s">
        <v>21</v>
      </c>
      <c r="J10" s="5" t="s">
        <v>214</v>
      </c>
    </row>
    <row r="11" spans="1:10" x14ac:dyDescent="0.25">
      <c r="A11" s="5" t="s">
        <v>19</v>
      </c>
      <c r="B11" s="5" t="s">
        <v>148</v>
      </c>
      <c r="C11" s="5" t="s">
        <v>21</v>
      </c>
      <c r="D11" s="5">
        <f>EXACT(G5,"HWT, IWT")</f>
      </c>
      <c r="E11" s="5" t="s">
        <v>215</v>
      </c>
      <c r="F11" s="5" t="s">
        <v>19</v>
      </c>
      <c r="G11" s="5" t="s">
        <v>41</v>
      </c>
      <c r="H11" s="5" t="s">
        <v>21</v>
      </c>
      <c r="I11" s="5" t="s">
        <v>21</v>
      </c>
      <c r="J11" s="5" t="s">
        <v>216</v>
      </c>
    </row>
    <row r="12" spans="1:10" x14ac:dyDescent="0.25">
      <c r="A12" s="5" t="s">
        <v>19</v>
      </c>
      <c r="B12" s="5" t="s">
        <v>148</v>
      </c>
      <c r="C12" s="5" t="s">
        <v>21</v>
      </c>
      <c r="D12" s="5">
        <f>EXACT(G5,"HWT, IWT")</f>
      </c>
      <c r="E12" s="5" t="s">
        <v>217</v>
      </c>
      <c r="F12" s="5" t="s">
        <v>19</v>
      </c>
      <c r="G12" s="5" t="s">
        <v>41</v>
      </c>
      <c r="H12" s="5" t="s">
        <v>21</v>
      </c>
      <c r="I12" s="5" t="s">
        <v>21</v>
      </c>
      <c r="J12" s="5" t="s">
        <v>218</v>
      </c>
    </row>
    <row r="13" spans="1:10" x14ac:dyDescent="0.25">
      <c r="A13" s="5" t="s">
        <v>19</v>
      </c>
      <c r="B13" s="5" t="s">
        <v>167</v>
      </c>
      <c r="C13" s="5" t="s">
        <v>21</v>
      </c>
      <c r="D13" s="5">
        <f>EXACT(G5,"HWT, IWT")</f>
      </c>
      <c r="E13" s="5" t="s">
        <v>219</v>
      </c>
      <c r="F13" s="5" t="s">
        <v>19</v>
      </c>
      <c r="G13" s="5">
        <v>1</v>
      </c>
      <c r="H13" s="5" t="s">
        <v>21</v>
      </c>
      <c r="I13" s="5" t="s">
        <v>21</v>
      </c>
      <c r="J13" s="5" t="s">
        <v>220</v>
      </c>
    </row>
    <row r="14" spans="1:10" x14ac:dyDescent="0.25">
      <c r="A14" s="5" t="s">
        <v>19</v>
      </c>
      <c r="B14" s="5" t="s">
        <v>148</v>
      </c>
      <c r="C14" s="5" t="s">
        <v>21</v>
      </c>
      <c r="D14" s="5">
        <f>EXACT(G5,"HWT, IWT")</f>
      </c>
      <c r="E14" s="5" t="s">
        <v>221</v>
      </c>
      <c r="F14" s="5" t="s">
        <v>19</v>
      </c>
      <c r="G14" s="5" t="s">
        <v>41</v>
      </c>
      <c r="H14" s="5" t="s">
        <v>21</v>
      </c>
      <c r="I14" s="5" t="s">
        <v>21</v>
      </c>
      <c r="J14" s="5" t="s">
        <v>222</v>
      </c>
    </row>
    <row r="15" spans="1:10" x14ac:dyDescent="0.25">
      <c r="A15" s="5" t="s">
        <v>19</v>
      </c>
      <c r="B15" s="5" t="s">
        <v>167</v>
      </c>
      <c r="C15" s="5" t="s">
        <v>21</v>
      </c>
      <c r="D15" s="5">
        <f>EXACT(G5,"HWT, IWT")</f>
      </c>
      <c r="E15" s="5" t="s">
        <v>223</v>
      </c>
      <c r="F15" s="5" t="s">
        <v>19</v>
      </c>
      <c r="G15" s="5">
        <v>1</v>
      </c>
      <c r="H15" s="5" t="s">
        <v>21</v>
      </c>
      <c r="I15" s="5" t="s">
        <v>21</v>
      </c>
      <c r="J15" s="5" t="s">
        <v>224</v>
      </c>
    </row>
    <row r="16" spans="1:10" x14ac:dyDescent="0.25">
      <c r="A16" s="5" t="s">
        <v>19</v>
      </c>
      <c r="B16" s="5" t="s">
        <v>167</v>
      </c>
      <c r="C16" s="5" t="s">
        <v>21</v>
      </c>
      <c r="D16" s="5">
        <f>EXACT(G5,"HWT, IWT")</f>
      </c>
      <c r="E16" s="5" t="s">
        <v>225</v>
      </c>
      <c r="F16" s="5" t="s">
        <v>19</v>
      </c>
      <c r="G16" s="5">
        <v>1</v>
      </c>
      <c r="H16" s="5" t="s">
        <v>21</v>
      </c>
      <c r="I16" s="5" t="s">
        <v>21</v>
      </c>
      <c r="J16" s="5" t="s">
        <v>226</v>
      </c>
    </row>
    <row r="17" spans="1:10" x14ac:dyDescent="0.25">
      <c r="A17" s="5" t="s">
        <v>19</v>
      </c>
      <c r="B17" s="5" t="s">
        <v>148</v>
      </c>
      <c r="C17" s="5" t="s">
        <v>21</v>
      </c>
      <c r="D17" s="5">
        <f>EXACT(G5,"HWT, IWT")</f>
      </c>
      <c r="E17" s="5" t="s">
        <v>227</v>
      </c>
      <c r="F17" s="5" t="s">
        <v>19</v>
      </c>
      <c r="G17" s="5" t="s">
        <v>41</v>
      </c>
      <c r="H17" s="5" t="s">
        <v>21</v>
      </c>
      <c r="I17" s="5" t="s">
        <v>21</v>
      </c>
      <c r="J17" s="5" t="s">
        <v>228</v>
      </c>
    </row>
    <row r="18" spans="1:10" x14ac:dyDescent="0.25">
      <c r="A18" s="5" t="s">
        <v>19</v>
      </c>
      <c r="B18" s="6" t="s">
        <v>204</v>
      </c>
      <c r="C18" s="5" t="s">
        <v>21</v>
      </c>
      <c r="D18" s="5">
        <f>EXACT(G5,"CWT, CWS")</f>
      </c>
      <c r="E18" s="5" t="s">
        <v>204</v>
      </c>
      <c r="F18" s="5" t="s">
        <v>19</v>
      </c>
      <c r="G18" s="5" t="s">
        <v>21</v>
      </c>
      <c r="H18" s="5" t="s">
        <v>21</v>
      </c>
      <c r="I18" s="5" t="s">
        <v>21</v>
      </c>
      <c r="J18" s="5" t="s">
        <v>229</v>
      </c>
    </row>
    <row r="19" spans="1:10" x14ac:dyDescent="0.25" outlineLevel="1" collapsed="1">
      <c r="A19" s="7" t="s">
        <v>15</v>
      </c>
      <c r="B19" s="7" t="s">
        <v>27</v>
      </c>
      <c r="C19" s="8" t="s">
        <v>230</v>
      </c>
      <c r="D19" s="7"/>
      <c r="E19" s="7" t="s">
        <v>204</v>
      </c>
      <c r="F19" s="7" t="s">
        <v>19</v>
      </c>
      <c r="G19" s="7" t="s">
        <v>231</v>
      </c>
      <c r="H19" s="7" t="s">
        <v>21</v>
      </c>
      <c r="I19" s="7" t="s">
        <v>21</v>
      </c>
      <c r="J19" s="7" t="s">
        <v>232</v>
      </c>
    </row>
    <row r="20" spans="1:10" x14ac:dyDescent="0.25" outlineLevel="1" collapsed="1">
      <c r="A20" s="7" t="s">
        <v>19</v>
      </c>
      <c r="B20" s="7" t="s">
        <v>148</v>
      </c>
      <c r="C20" s="7" t="s">
        <v>21</v>
      </c>
      <c r="D20" s="7">
        <f>EXACT(G19,"Other (specify)")</f>
      </c>
      <c r="E20" s="7" t="s">
        <v>209</v>
      </c>
      <c r="F20" s="7" t="s">
        <v>19</v>
      </c>
      <c r="G20" s="7" t="s">
        <v>41</v>
      </c>
      <c r="H20" s="7" t="s">
        <v>21</v>
      </c>
      <c r="I20" s="7" t="s">
        <v>21</v>
      </c>
      <c r="J20" s="7" t="s">
        <v>210</v>
      </c>
    </row>
    <row r="21" spans="1:10" x14ac:dyDescent="0.25">
      <c r="A21" s="5" t="s">
        <v>19</v>
      </c>
      <c r="B21" s="5" t="s">
        <v>148</v>
      </c>
      <c r="C21" s="5" t="s">
        <v>21</v>
      </c>
      <c r="D21" s="5">
        <f>EXACT(G5,"CWT, CWS")</f>
      </c>
      <c r="E21" s="5" t="s">
        <v>211</v>
      </c>
      <c r="F21" s="5" t="s">
        <v>19</v>
      </c>
      <c r="G21" s="5" t="s">
        <v>41</v>
      </c>
      <c r="H21" s="5" t="s">
        <v>21</v>
      </c>
      <c r="I21" s="5" t="s">
        <v>21</v>
      </c>
      <c r="J21" s="5" t="s">
        <v>233</v>
      </c>
    </row>
    <row r="22" spans="1:10" x14ac:dyDescent="0.25">
      <c r="A22" s="5" t="s">
        <v>19</v>
      </c>
      <c r="B22" s="5" t="s">
        <v>148</v>
      </c>
      <c r="C22" s="5" t="s">
        <v>21</v>
      </c>
      <c r="D22" s="5">
        <f>EXACT(G5,"CWT, CWS")</f>
      </c>
      <c r="E22" s="5" t="s">
        <v>234</v>
      </c>
      <c r="F22" s="5" t="s">
        <v>19</v>
      </c>
      <c r="G22" s="5" t="s">
        <v>41</v>
      </c>
      <c r="H22" s="5" t="s">
        <v>21</v>
      </c>
      <c r="I22" s="5" t="s">
        <v>21</v>
      </c>
      <c r="J22" s="5" t="s">
        <v>235</v>
      </c>
    </row>
    <row r="23" spans="1:10" x14ac:dyDescent="0.25">
      <c r="A23" s="5" t="s">
        <v>19</v>
      </c>
      <c r="B23" s="5" t="s">
        <v>148</v>
      </c>
      <c r="C23" s="5" t="s">
        <v>21</v>
      </c>
      <c r="D23" s="5">
        <f>EXACT(G5,"CWT, CWS")</f>
      </c>
      <c r="E23" s="5" t="s">
        <v>236</v>
      </c>
      <c r="F23" s="5" t="s">
        <v>19</v>
      </c>
      <c r="G23" s="5" t="s">
        <v>41</v>
      </c>
      <c r="H23" s="5" t="s">
        <v>21</v>
      </c>
      <c r="I23" s="5" t="s">
        <v>21</v>
      </c>
      <c r="J23" s="5" t="s">
        <v>237</v>
      </c>
    </row>
    <row r="24" spans="1:10" x14ac:dyDescent="0.25">
      <c r="A24" s="5" t="s">
        <v>19</v>
      </c>
      <c r="B24" s="5" t="s">
        <v>167</v>
      </c>
      <c r="C24" s="5" t="s">
        <v>21</v>
      </c>
      <c r="D24" s="5">
        <f>EXACT(G5,"CWT, CWS")</f>
      </c>
      <c r="E24" s="5" t="s">
        <v>238</v>
      </c>
      <c r="F24" s="5" t="s">
        <v>19</v>
      </c>
      <c r="G24" s="5">
        <v>1</v>
      </c>
      <c r="H24" s="5" t="s">
        <v>21</v>
      </c>
      <c r="I24" s="5" t="s">
        <v>21</v>
      </c>
      <c r="J24" s="5" t="s">
        <v>239</v>
      </c>
    </row>
    <row r="25" spans="1:10" x14ac:dyDescent="0.25">
      <c r="A25" s="5" t="s">
        <v>19</v>
      </c>
      <c r="B25" s="5" t="s">
        <v>167</v>
      </c>
      <c r="C25" s="5" t="s">
        <v>21</v>
      </c>
      <c r="D25" s="5">
        <f>EXACT(G5,"CWT, CWS")</f>
      </c>
      <c r="E25" s="5" t="s">
        <v>240</v>
      </c>
      <c r="F25" s="5" t="s">
        <v>19</v>
      </c>
      <c r="G25" s="5">
        <v>1</v>
      </c>
      <c r="H25" s="5" t="s">
        <v>21</v>
      </c>
      <c r="I25" s="5" t="s">
        <v>21</v>
      </c>
      <c r="J25" s="5" t="s">
        <v>241</v>
      </c>
    </row>
    <row r="26" spans="1:10" x14ac:dyDescent="0.25">
      <c r="A26" s="5" t="s">
        <v>19</v>
      </c>
      <c r="B26" s="5" t="s">
        <v>148</v>
      </c>
      <c r="C26" s="5" t="s">
        <v>21</v>
      </c>
      <c r="D26" s="5">
        <f>EXACT(G5,"CWT, CWS")</f>
      </c>
      <c r="E26" s="5" t="s">
        <v>215</v>
      </c>
      <c r="F26" s="5" t="s">
        <v>19</v>
      </c>
      <c r="G26" s="5" t="s">
        <v>41</v>
      </c>
      <c r="H26" s="5" t="s">
        <v>21</v>
      </c>
      <c r="I26" s="5" t="s">
        <v>21</v>
      </c>
      <c r="J26" s="5" t="s">
        <v>242</v>
      </c>
    </row>
    <row r="27" spans="1:10" x14ac:dyDescent="0.25">
      <c r="A27" s="5" t="s">
        <v>19</v>
      </c>
      <c r="B27" s="5" t="s">
        <v>148</v>
      </c>
      <c r="C27" s="5" t="s">
        <v>21</v>
      </c>
      <c r="D27" s="5">
        <f>EXACT(G5,"CWT, CWS")</f>
      </c>
      <c r="E27" s="5" t="s">
        <v>217</v>
      </c>
      <c r="F27" s="5" t="s">
        <v>19</v>
      </c>
      <c r="G27" s="5" t="s">
        <v>41</v>
      </c>
      <c r="H27" s="5" t="s">
        <v>21</v>
      </c>
      <c r="I27" s="5" t="s">
        <v>21</v>
      </c>
      <c r="J27" s="5" t="s">
        <v>243</v>
      </c>
    </row>
    <row r="28" spans="1:10" x14ac:dyDescent="0.25">
      <c r="A28" s="5" t="s">
        <v>19</v>
      </c>
      <c r="B28" s="5" t="s">
        <v>148</v>
      </c>
      <c r="C28" s="5" t="s">
        <v>21</v>
      </c>
      <c r="D28" s="5">
        <f>EXACT(G5,"CWT, CWS")</f>
      </c>
      <c r="E28" s="5" t="s">
        <v>244</v>
      </c>
      <c r="F28" s="5" t="s">
        <v>19</v>
      </c>
      <c r="G28" s="5" t="s">
        <v>41</v>
      </c>
      <c r="H28" s="5" t="s">
        <v>21</v>
      </c>
      <c r="I28" s="5" t="s">
        <v>21</v>
      </c>
      <c r="J28" s="5" t="s">
        <v>245</v>
      </c>
    </row>
    <row r="29" spans="1:10" x14ac:dyDescent="0.25">
      <c r="A29" s="5" t="s">
        <v>19</v>
      </c>
      <c r="B29" s="5" t="s">
        <v>246</v>
      </c>
      <c r="C29" s="5" t="s">
        <v>21</v>
      </c>
      <c r="D29" s="5">
        <f>EXACT(G5,"CWT, CWS")</f>
      </c>
      <c r="E29" s="5" t="s">
        <v>247</v>
      </c>
      <c r="F29" s="5" t="s">
        <v>19</v>
      </c>
      <c r="G29" s="5" t="b">
        <v>1</v>
      </c>
      <c r="H29" s="5" t="s">
        <v>21</v>
      </c>
      <c r="I29" s="5" t="s">
        <v>21</v>
      </c>
      <c r="J29" s="5" t="s">
        <v>248</v>
      </c>
    </row>
    <row r="30" spans="1:10" x14ac:dyDescent="0.25">
      <c r="A30" s="5" t="s">
        <v>19</v>
      </c>
      <c r="B30" s="5" t="s">
        <v>148</v>
      </c>
      <c r="C30" s="5" t="s">
        <v>21</v>
      </c>
      <c r="D30" s="5">
        <f>EXACT(G5,"CWT, CWS")</f>
      </c>
      <c r="E30" s="5" t="s">
        <v>115</v>
      </c>
      <c r="F30" s="5" t="s">
        <v>19</v>
      </c>
      <c r="G30" s="5" t="s">
        <v>41</v>
      </c>
      <c r="H30" s="5" t="s">
        <v>21</v>
      </c>
      <c r="I30" s="5" t="s">
        <v>21</v>
      </c>
      <c r="J30" s="5" t="s">
        <v>249</v>
      </c>
    </row>
    <row r="31" spans="1:10" x14ac:dyDescent="0.25">
      <c r="A31" s="5" t="s">
        <v>19</v>
      </c>
      <c r="B31" s="5" t="s">
        <v>148</v>
      </c>
      <c r="C31" s="5" t="s">
        <v>21</v>
      </c>
      <c r="D31" s="5">
        <f>EXACT(G5,"CWT, CWS")</f>
      </c>
      <c r="E31" s="5" t="s">
        <v>250</v>
      </c>
      <c r="F31" s="5" t="s">
        <v>19</v>
      </c>
      <c r="G31" s="5" t="s">
        <v>41</v>
      </c>
      <c r="H31" s="5" t="s">
        <v>21</v>
      </c>
      <c r="I31" s="5" t="s">
        <v>21</v>
      </c>
      <c r="J31" s="5" t="s">
        <v>251</v>
      </c>
    </row>
    <row r="32" spans="1:10" x14ac:dyDescent="0.25">
      <c r="A32" s="5" t="s">
        <v>19</v>
      </c>
      <c r="B32" s="5" t="s">
        <v>56</v>
      </c>
      <c r="C32" s="5" t="s">
        <v>21</v>
      </c>
      <c r="D32" s="5">
        <f>EXACT(G5,"CWT, CWS")</f>
      </c>
      <c r="E32" s="5" t="s">
        <v>252</v>
      </c>
      <c r="F32" s="5" t="s">
        <v>19</v>
      </c>
      <c r="G32" s="5" t="s">
        <v>564</v>
      </c>
      <c r="H32" s="5" t="s">
        <v>21</v>
      </c>
      <c r="I32" s="5" t="s">
        <v>21</v>
      </c>
      <c r="J32" s="5" t="s">
        <v>254</v>
      </c>
    </row>
    <row r="33" spans="1:10" x14ac:dyDescent="0.25">
      <c r="A33" s="5" t="s">
        <v>19</v>
      </c>
      <c r="B33" s="6" t="s">
        <v>255</v>
      </c>
      <c r="C33" s="5" t="s">
        <v>21</v>
      </c>
      <c r="D33" s="5">
        <f>EXACT(G5,"CWT, CWS")</f>
      </c>
      <c r="E33" s="5" t="s">
        <v>256</v>
      </c>
      <c r="F33" s="5" t="s">
        <v>19</v>
      </c>
      <c r="G33" s="5" t="s">
        <v>21</v>
      </c>
      <c r="H33" s="5" t="s">
        <v>21</v>
      </c>
      <c r="I33" s="5" t="s">
        <v>21</v>
      </c>
      <c r="J33" s="5" t="s">
        <v>257</v>
      </c>
    </row>
    <row r="34" spans="1:10" x14ac:dyDescent="0.25" outlineLevel="1" collapsed="1">
      <c r="A34" s="7" t="s">
        <v>15</v>
      </c>
      <c r="B34" s="7" t="s">
        <v>246</v>
      </c>
      <c r="C34" s="7" t="s">
        <v>21</v>
      </c>
      <c r="D34" s="7"/>
      <c r="E34" s="7" t="s">
        <v>258</v>
      </c>
      <c r="F34" s="7" t="s">
        <v>19</v>
      </c>
      <c r="G34" s="7" t="b">
        <v>1</v>
      </c>
      <c r="H34" s="7" t="s">
        <v>21</v>
      </c>
      <c r="I34" s="7" t="s">
        <v>21</v>
      </c>
      <c r="J34" s="7" t="s">
        <v>259</v>
      </c>
    </row>
    <row r="35" spans="1:10" x14ac:dyDescent="0.25" outlineLevel="1" collapsed="1">
      <c r="A35" s="7" t="s">
        <v>19</v>
      </c>
      <c r="B35" s="7" t="s">
        <v>175</v>
      </c>
      <c r="C35" s="7" t="s">
        <v>21</v>
      </c>
      <c r="D35" s="7">
        <f>EXACT(G34,true)</f>
      </c>
      <c r="E35" s="7" t="s">
        <v>260</v>
      </c>
      <c r="F35" s="7" t="s">
        <v>19</v>
      </c>
      <c r="G35" s="7" t="s">
        <v>177</v>
      </c>
      <c r="H35" s="7" t="s">
        <v>21</v>
      </c>
      <c r="I35" s="7" t="s">
        <v>21</v>
      </c>
      <c r="J35" s="7" t="s">
        <v>261</v>
      </c>
    </row>
    <row r="36" spans="1:10" x14ac:dyDescent="0.25" outlineLevel="1" collapsed="1">
      <c r="A36" s="7" t="s">
        <v>19</v>
      </c>
      <c r="B36" s="7" t="s">
        <v>16</v>
      </c>
      <c r="C36" s="7" t="s">
        <v>262</v>
      </c>
      <c r="D36" s="7">
        <f>EXACT(G34,true)</f>
      </c>
      <c r="E36" s="7" t="s">
        <v>263</v>
      </c>
      <c r="F36" s="7" t="s">
        <v>19</v>
      </c>
      <c r="G36" s="7" t="s">
        <v>565</v>
      </c>
      <c r="H36" s="7" t="s">
        <v>21</v>
      </c>
      <c r="I36" s="7" t="s">
        <v>21</v>
      </c>
      <c r="J36" s="7" t="s">
        <v>265</v>
      </c>
    </row>
    <row r="37" spans="1:10" x14ac:dyDescent="0.25" outlineLevel="1" collapsed="1">
      <c r="A37" s="7" t="s">
        <v>19</v>
      </c>
      <c r="B37" s="7" t="s">
        <v>175</v>
      </c>
      <c r="C37" s="7" t="s">
        <v>21</v>
      </c>
      <c r="D37" s="7">
        <f>EXACT(G34,true)</f>
      </c>
      <c r="E37" s="7" t="s">
        <v>266</v>
      </c>
      <c r="F37" s="7" t="s">
        <v>19</v>
      </c>
      <c r="G37" s="7" t="s">
        <v>177</v>
      </c>
      <c r="H37" s="7" t="s">
        <v>21</v>
      </c>
      <c r="I37" s="7" t="s">
        <v>21</v>
      </c>
      <c r="J37" s="7" t="s">
        <v>267</v>
      </c>
    </row>
    <row r="38" spans="1:10" x14ac:dyDescent="0.25" outlineLevel="1" collapsed="1">
      <c r="A38" s="7" t="s">
        <v>19</v>
      </c>
      <c r="B38" s="7" t="s">
        <v>56</v>
      </c>
      <c r="C38" s="7" t="s">
        <v>21</v>
      </c>
      <c r="D38" s="7">
        <f>EXACT(G34,true)</f>
      </c>
      <c r="E38" s="7" t="s">
        <v>268</v>
      </c>
      <c r="F38" s="7" t="s">
        <v>19</v>
      </c>
      <c r="G38" s="7" t="s">
        <v>566</v>
      </c>
      <c r="H38" s="7" t="s">
        <v>21</v>
      </c>
      <c r="I38" s="7" t="s">
        <v>21</v>
      </c>
      <c r="J38" s="7" t="s">
        <v>270</v>
      </c>
    </row>
    <row r="39" spans="1:10" x14ac:dyDescent="0.25" outlineLevel="1" collapsed="1">
      <c r="A39" s="7" t="s">
        <v>19</v>
      </c>
      <c r="B39" s="7" t="s">
        <v>56</v>
      </c>
      <c r="C39" s="7" t="s">
        <v>21</v>
      </c>
      <c r="D39" s="7">
        <f>EXACT(G34,true)</f>
      </c>
      <c r="E39" s="7" t="s">
        <v>271</v>
      </c>
      <c r="F39" s="7" t="s">
        <v>19</v>
      </c>
      <c r="G39" s="7" t="s">
        <v>567</v>
      </c>
      <c r="H39" s="7" t="s">
        <v>21</v>
      </c>
      <c r="I39" s="7" t="s">
        <v>21</v>
      </c>
      <c r="J39" s="7" t="s">
        <v>273</v>
      </c>
    </row>
    <row r="40" spans="1:10" x14ac:dyDescent="0.25">
      <c r="A40" s="5" t="s">
        <v>19</v>
      </c>
      <c r="B40" s="6" t="s">
        <v>319</v>
      </c>
      <c r="C40" s="5" t="s">
        <v>21</v>
      </c>
      <c r="D40" s="5">
        <f>EXACT(G5,"CWT, CWS")</f>
      </c>
      <c r="E40" s="5" t="s">
        <v>320</v>
      </c>
      <c r="F40" s="5" t="s">
        <v>19</v>
      </c>
      <c r="G40" s="5" t="s">
        <v>21</v>
      </c>
      <c r="H40" s="5" t="s">
        <v>21</v>
      </c>
      <c r="I40" s="5" t="s">
        <v>21</v>
      </c>
      <c r="J40" s="5" t="s">
        <v>321</v>
      </c>
    </row>
    <row r="41" spans="1:10" x14ac:dyDescent="0.25" outlineLevel="1" collapsed="1">
      <c r="A41" s="7" t="s">
        <v>15</v>
      </c>
      <c r="B41" s="7" t="s">
        <v>148</v>
      </c>
      <c r="C41" s="7" t="s">
        <v>21</v>
      </c>
      <c r="D41" s="7"/>
      <c r="E41" s="7" t="s">
        <v>322</v>
      </c>
      <c r="F41" s="7" t="s">
        <v>19</v>
      </c>
      <c r="G41" s="7" t="s">
        <v>41</v>
      </c>
      <c r="H41" s="7" t="s">
        <v>21</v>
      </c>
      <c r="I41" s="7" t="s">
        <v>21</v>
      </c>
      <c r="J41" s="7" t="s">
        <v>323</v>
      </c>
    </row>
    <row r="42" spans="1:10" x14ac:dyDescent="0.25" outlineLevel="1" collapsed="1">
      <c r="A42" s="7" t="s">
        <v>15</v>
      </c>
      <c r="B42" s="7" t="s">
        <v>148</v>
      </c>
      <c r="C42" s="7" t="s">
        <v>21</v>
      </c>
      <c r="D42" s="7"/>
      <c r="E42" s="7" t="s">
        <v>324</v>
      </c>
      <c r="F42" s="7" t="s">
        <v>19</v>
      </c>
      <c r="G42" s="7" t="s">
        <v>41</v>
      </c>
      <c r="H42" s="7" t="s">
        <v>21</v>
      </c>
      <c r="I42" s="7" t="s">
        <v>21</v>
      </c>
      <c r="J42" s="7" t="s">
        <v>325</v>
      </c>
    </row>
    <row r="43" spans="1:10" x14ac:dyDescent="0.25" outlineLevel="1" collapsed="1">
      <c r="A43" s="7" t="s">
        <v>15</v>
      </c>
      <c r="B43" s="7" t="s">
        <v>148</v>
      </c>
      <c r="C43" s="7" t="s">
        <v>21</v>
      </c>
      <c r="D43" s="7"/>
      <c r="E43" s="7" t="s">
        <v>326</v>
      </c>
      <c r="F43" s="7" t="s">
        <v>19</v>
      </c>
      <c r="G43" s="7" t="s">
        <v>41</v>
      </c>
      <c r="H43" s="7" t="s">
        <v>21</v>
      </c>
      <c r="I43" s="7" t="s">
        <v>21</v>
      </c>
      <c r="J43" s="7" t="s">
        <v>327</v>
      </c>
    </row>
    <row r="44" spans="1:10" x14ac:dyDescent="0.25" outlineLevel="1" collapsed="1">
      <c r="A44" s="7" t="s">
        <v>15</v>
      </c>
      <c r="B44" s="7" t="s">
        <v>148</v>
      </c>
      <c r="C44" s="7" t="s">
        <v>21</v>
      </c>
      <c r="D44" s="7"/>
      <c r="E44" s="7" t="s">
        <v>328</v>
      </c>
      <c r="F44" s="7" t="s">
        <v>19</v>
      </c>
      <c r="G44" s="7" t="s">
        <v>41</v>
      </c>
      <c r="H44" s="7" t="s">
        <v>21</v>
      </c>
      <c r="I44" s="7" t="s">
        <v>21</v>
      </c>
      <c r="J44" s="7" t="s">
        <v>329</v>
      </c>
    </row>
    <row r="45" spans="1:10" x14ac:dyDescent="0.25" outlineLevel="1" collapsed="1">
      <c r="A45" s="7" t="s">
        <v>15</v>
      </c>
      <c r="B45" s="7" t="s">
        <v>56</v>
      </c>
      <c r="C45" s="7" t="s">
        <v>21</v>
      </c>
      <c r="D45" s="7"/>
      <c r="E45" s="7" t="s">
        <v>330</v>
      </c>
      <c r="F45" s="7" t="s">
        <v>19</v>
      </c>
      <c r="G45" s="7" t="s">
        <v>568</v>
      </c>
      <c r="H45" s="7" t="s">
        <v>21</v>
      </c>
      <c r="I45" s="7" t="s">
        <v>21</v>
      </c>
      <c r="J45" s="7" t="s">
        <v>332</v>
      </c>
    </row>
  </sheetData>
  <mergeCells count="3">
    <mergeCell ref="A1:J1"/>
    <mergeCell ref="B2:J2"/>
    <mergeCell ref="B3:J3"/>
  </mergeCells>
  <dataValidations count="3">
    <dataValidation type="list" allowBlank="1" sqref="G19:I19">
      <formula1>'Treatment Technology Su (enum)'!A4:A9</formula1>
    </dataValidation>
    <dataValidation type="list" allowBlank="1" sqref="G5:I5">
      <formula1>'Treatment Technology 3 (enum)'!A4:A5</formula1>
    </dataValidation>
    <dataValidation type="list" allowBlank="1" sqref="G7:I7">
      <formula1>'Treatment Technology 2 (enum)'!A4:A9</formula1>
    </dataValidation>
  </dataValidations>
  <hyperlinks>
    <hyperlink ref="C5" r:id="rId1" location="#'Treatment Technology 3 (enum)'!A3"/>
    <hyperlink ref="B6" r:id="rId2" location="#'Treatment Technology Sub-ty 2'!A1"/>
    <hyperlink ref="C7" r:id="rId3" location="#'Treatment Technology 2 (enum)'!A3"/>
    <hyperlink ref="B18" r:id="rId4" location="#'Treatment Technology Sub-type'!A1"/>
    <hyperlink ref="C19" r:id="rId5" location="#'Treatment Technology Su (enum)'!A3"/>
    <hyperlink ref="B33" r:id="rId6" location="#'If the Project Installation is'!A1"/>
    <hyperlink ref="B40" r:id="rId7" location="#'Maintenance Plan for CWTCW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569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148</v>
      </c>
      <c r="C5" s="5" t="s">
        <v>21</v>
      </c>
      <c r="D5" s="5"/>
      <c r="E5" s="5" t="s">
        <v>322</v>
      </c>
      <c r="F5" s="5" t="s">
        <v>19</v>
      </c>
      <c r="G5" s="5" t="s">
        <v>41</v>
      </c>
      <c r="H5" s="5" t="s">
        <v>21</v>
      </c>
      <c r="I5" s="5" t="s">
        <v>21</v>
      </c>
      <c r="J5" s="5" t="s">
        <v>323</v>
      </c>
    </row>
    <row r="6" spans="1:10" x14ac:dyDescent="0.25">
      <c r="A6" s="5" t="s">
        <v>15</v>
      </c>
      <c r="B6" s="5" t="s">
        <v>148</v>
      </c>
      <c r="C6" s="5" t="s">
        <v>21</v>
      </c>
      <c r="D6" s="5"/>
      <c r="E6" s="5" t="s">
        <v>324</v>
      </c>
      <c r="F6" s="5" t="s">
        <v>19</v>
      </c>
      <c r="G6" s="5" t="s">
        <v>41</v>
      </c>
      <c r="H6" s="5" t="s">
        <v>21</v>
      </c>
      <c r="I6" s="5" t="s">
        <v>21</v>
      </c>
      <c r="J6" s="5" t="s">
        <v>325</v>
      </c>
    </row>
    <row r="7" spans="1:10" x14ac:dyDescent="0.25">
      <c r="A7" s="5" t="s">
        <v>15</v>
      </c>
      <c r="B7" s="5" t="s">
        <v>148</v>
      </c>
      <c r="C7" s="5" t="s">
        <v>21</v>
      </c>
      <c r="D7" s="5"/>
      <c r="E7" s="5" t="s">
        <v>326</v>
      </c>
      <c r="F7" s="5" t="s">
        <v>19</v>
      </c>
      <c r="G7" s="5" t="s">
        <v>41</v>
      </c>
      <c r="H7" s="5" t="s">
        <v>21</v>
      </c>
      <c r="I7" s="5" t="s">
        <v>21</v>
      </c>
      <c r="J7" s="5" t="s">
        <v>327</v>
      </c>
    </row>
    <row r="8" spans="1:10" x14ac:dyDescent="0.25">
      <c r="A8" s="5" t="s">
        <v>15</v>
      </c>
      <c r="B8" s="5" t="s">
        <v>148</v>
      </c>
      <c r="C8" s="5" t="s">
        <v>21</v>
      </c>
      <c r="D8" s="5"/>
      <c r="E8" s="5" t="s">
        <v>328</v>
      </c>
      <c r="F8" s="5" t="s">
        <v>19</v>
      </c>
      <c r="G8" s="5" t="s">
        <v>41</v>
      </c>
      <c r="H8" s="5" t="s">
        <v>21</v>
      </c>
      <c r="I8" s="5" t="s">
        <v>21</v>
      </c>
      <c r="J8" s="5" t="s">
        <v>329</v>
      </c>
    </row>
    <row r="9" spans="1:10" x14ac:dyDescent="0.25">
      <c r="A9" s="5" t="s">
        <v>15</v>
      </c>
      <c r="B9" s="5" t="s">
        <v>56</v>
      </c>
      <c r="C9" s="5" t="s">
        <v>21</v>
      </c>
      <c r="D9" s="5"/>
      <c r="E9" s="5" t="s">
        <v>330</v>
      </c>
      <c r="F9" s="5" t="s">
        <v>19</v>
      </c>
      <c r="G9" s="5" t="s">
        <v>570</v>
      </c>
      <c r="H9" s="5" t="s">
        <v>21</v>
      </c>
      <c r="I9" s="5" t="s">
        <v>21</v>
      </c>
      <c r="J9" s="5" t="s">
        <v>332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0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1" t="s">
        <v>571</v>
      </c>
      <c r="B1" s="12" t="s">
        <v>0</v>
      </c>
    </row>
    <row r="2" spans="1:2" x14ac:dyDescent="0.25">
      <c r="A2" s="11" t="s">
        <v>572</v>
      </c>
      <c r="B2" s="12" t="s">
        <v>32</v>
      </c>
    </row>
    <row r="3" spans="1:2" x14ac:dyDescent="0.25">
      <c r="A3" s="11" t="s">
        <v>573</v>
      </c>
      <c r="B3" s="12" t="s">
        <v>19</v>
      </c>
    </row>
    <row r="4" spans="1:2" x14ac:dyDescent="0.25">
      <c r="A4" s="13" t="s">
        <v>33</v>
      </c>
      <c r="B4" s="13"/>
    </row>
    <row r="5" spans="1:2" x14ac:dyDescent="0.25">
      <c r="A5" s="13" t="s">
        <v>574</v>
      </c>
      <c r="B5" s="13"/>
    </row>
    <row r="6" spans="1:2" x14ac:dyDescent="0.25">
      <c r="A6" s="13" t="s">
        <v>575</v>
      </c>
      <c r="B6" s="13"/>
    </row>
    <row r="7" spans="1:2" x14ac:dyDescent="0.25">
      <c r="A7" s="13" t="s">
        <v>576</v>
      </c>
      <c r="B7" s="13"/>
    </row>
    <row r="8" spans="1:2" x14ac:dyDescent="0.25">
      <c r="A8" s="13" t="s">
        <v>577</v>
      </c>
      <c r="B8" s="13"/>
    </row>
    <row r="9" spans="1:2" x14ac:dyDescent="0.25">
      <c r="A9" s="13" t="s">
        <v>578</v>
      </c>
      <c r="B9" s="13"/>
    </row>
    <row r="10" spans="1:2" x14ac:dyDescent="0.25">
      <c r="A10" s="13" t="s">
        <v>579</v>
      </c>
      <c r="B10" s="13"/>
    </row>
  </sheetData>
  <mergeCells count="7">
    <mergeCell ref="A4:B4"/>
    <mergeCell ref="A5:B5"/>
    <mergeCell ref="A6:B6"/>
    <mergeCell ref="A7:B7"/>
    <mergeCell ref="A8:B8"/>
    <mergeCell ref="A9:B9"/>
    <mergeCell ref="A10:B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9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1" t="s">
        <v>571</v>
      </c>
      <c r="B1" s="12" t="s">
        <v>0</v>
      </c>
    </row>
    <row r="2" spans="1:2" x14ac:dyDescent="0.25">
      <c r="A2" s="11" t="s">
        <v>572</v>
      </c>
      <c r="B2" s="12" t="s">
        <v>36</v>
      </c>
    </row>
    <row r="3" spans="1:2" x14ac:dyDescent="0.25">
      <c r="A3" s="11" t="s">
        <v>573</v>
      </c>
      <c r="B3" s="12" t="s">
        <v>19</v>
      </c>
    </row>
    <row r="4" spans="1:2" x14ac:dyDescent="0.25">
      <c r="A4" s="13" t="s">
        <v>37</v>
      </c>
      <c r="B4" s="13"/>
    </row>
    <row r="5" spans="1:2" x14ac:dyDescent="0.25">
      <c r="A5" s="13" t="s">
        <v>580</v>
      </c>
      <c r="B5" s="13"/>
    </row>
    <row r="6" spans="1:2" x14ac:dyDescent="0.25">
      <c r="A6" s="13" t="s">
        <v>581</v>
      </c>
      <c r="B6" s="13"/>
    </row>
    <row r="7" spans="1:2" x14ac:dyDescent="0.25">
      <c r="A7" s="13" t="s">
        <v>582</v>
      </c>
      <c r="B7" s="13"/>
    </row>
    <row r="8" spans="1:2" x14ac:dyDescent="0.25">
      <c r="A8" s="13" t="s">
        <v>583</v>
      </c>
      <c r="B8" s="13"/>
    </row>
    <row r="9" spans="1:2" x14ac:dyDescent="0.25">
      <c r="A9" s="13" t="s">
        <v>584</v>
      </c>
      <c r="B9" s="13"/>
    </row>
    <row r="10" spans="1:2" x14ac:dyDescent="0.25">
      <c r="A10" s="13" t="s">
        <v>575</v>
      </c>
      <c r="B10" s="13"/>
    </row>
    <row r="11" spans="1:2" x14ac:dyDescent="0.25">
      <c r="A11" s="13" t="s">
        <v>585</v>
      </c>
      <c r="B11" s="13"/>
    </row>
    <row r="12" spans="1:2" x14ac:dyDescent="0.25">
      <c r="A12" s="13" t="s">
        <v>586</v>
      </c>
      <c r="B12" s="13"/>
    </row>
    <row r="13" spans="1:2" x14ac:dyDescent="0.25">
      <c r="A13" s="13" t="s">
        <v>587</v>
      </c>
      <c r="B13" s="13"/>
    </row>
    <row r="14" spans="1:2" x14ac:dyDescent="0.25">
      <c r="A14" s="13" t="s">
        <v>588</v>
      </c>
      <c r="B14" s="13"/>
    </row>
    <row r="15" spans="1:2" x14ac:dyDescent="0.25">
      <c r="A15" s="13" t="s">
        <v>589</v>
      </c>
      <c r="B15" s="13"/>
    </row>
    <row r="16" spans="1:2" x14ac:dyDescent="0.25">
      <c r="A16" s="13" t="s">
        <v>590</v>
      </c>
      <c r="B16" s="13"/>
    </row>
    <row r="17" spans="1:2" x14ac:dyDescent="0.25">
      <c r="A17" s="13" t="s">
        <v>591</v>
      </c>
      <c r="B17" s="13"/>
    </row>
    <row r="18" spans="1:2" x14ac:dyDescent="0.25">
      <c r="A18" s="13" t="s">
        <v>592</v>
      </c>
      <c r="B18" s="13"/>
    </row>
    <row r="19" spans="1:2" x14ac:dyDescent="0.25">
      <c r="A19" s="13" t="s">
        <v>593</v>
      </c>
      <c r="B19" s="13"/>
    </row>
  </sheetData>
  <mergeCells count="16"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56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1" t="s">
        <v>571</v>
      </c>
      <c r="B1" s="12" t="s">
        <v>23</v>
      </c>
    </row>
    <row r="2" spans="1:2" x14ac:dyDescent="0.25">
      <c r="A2" s="11" t="s">
        <v>572</v>
      </c>
      <c r="B2" s="12" t="s">
        <v>23</v>
      </c>
    </row>
    <row r="3" spans="1:2" x14ac:dyDescent="0.25">
      <c r="A3" s="11" t="s">
        <v>573</v>
      </c>
      <c r="B3" s="12" t="s">
        <v>19</v>
      </c>
    </row>
    <row r="4" spans="1:2" x14ac:dyDescent="0.25">
      <c r="A4" s="13" t="s">
        <v>594</v>
      </c>
      <c r="B4" s="13"/>
    </row>
    <row r="5" spans="1:2" x14ac:dyDescent="0.25">
      <c r="A5" s="13" t="s">
        <v>595</v>
      </c>
      <c r="B5" s="13"/>
    </row>
    <row r="6" spans="1:2" x14ac:dyDescent="0.25">
      <c r="A6" s="13" t="s">
        <v>596</v>
      </c>
      <c r="B6" s="13"/>
    </row>
    <row r="7" spans="1:2" x14ac:dyDescent="0.25">
      <c r="A7" s="13" t="s">
        <v>597</v>
      </c>
      <c r="B7" s="13"/>
    </row>
    <row r="8" spans="1:2" x14ac:dyDescent="0.25">
      <c r="A8" s="13" t="s">
        <v>598</v>
      </c>
      <c r="B8" s="13"/>
    </row>
    <row r="9" spans="1:2" x14ac:dyDescent="0.25">
      <c r="A9" s="13" t="s">
        <v>599</v>
      </c>
      <c r="B9" s="13"/>
    </row>
    <row r="10" spans="1:2" x14ac:dyDescent="0.25">
      <c r="A10" s="13" t="s">
        <v>600</v>
      </c>
      <c r="B10" s="13"/>
    </row>
    <row r="11" spans="1:2" x14ac:dyDescent="0.25">
      <c r="A11" s="13" t="s">
        <v>601</v>
      </c>
      <c r="B11" s="13"/>
    </row>
    <row r="12" spans="1:2" x14ac:dyDescent="0.25">
      <c r="A12" s="13" t="s">
        <v>602</v>
      </c>
      <c r="B12" s="13"/>
    </row>
    <row r="13" spans="1:2" x14ac:dyDescent="0.25">
      <c r="A13" s="13" t="s">
        <v>603</v>
      </c>
      <c r="B13" s="13"/>
    </row>
    <row r="14" spans="1:2" x14ac:dyDescent="0.25">
      <c r="A14" s="13" t="s">
        <v>604</v>
      </c>
      <c r="B14" s="13"/>
    </row>
    <row r="15" spans="1:2" x14ac:dyDescent="0.25">
      <c r="A15" s="13" t="s">
        <v>605</v>
      </c>
      <c r="B15" s="13"/>
    </row>
    <row r="16" spans="1:2" x14ac:dyDescent="0.25">
      <c r="A16" s="13" t="s">
        <v>606</v>
      </c>
      <c r="B16" s="13"/>
    </row>
    <row r="17" spans="1:2" x14ac:dyDescent="0.25">
      <c r="A17" s="13" t="s">
        <v>607</v>
      </c>
      <c r="B17" s="13"/>
    </row>
    <row r="18" spans="1:2" x14ac:dyDescent="0.25">
      <c r="A18" s="13" t="s">
        <v>608</v>
      </c>
      <c r="B18" s="13"/>
    </row>
    <row r="19" spans="1:2" x14ac:dyDescent="0.25">
      <c r="A19" s="13" t="s">
        <v>609</v>
      </c>
      <c r="B19" s="13"/>
    </row>
    <row r="20" spans="1:2" x14ac:dyDescent="0.25">
      <c r="A20" s="13" t="s">
        <v>610</v>
      </c>
      <c r="B20" s="13"/>
    </row>
    <row r="21" spans="1:2" x14ac:dyDescent="0.25">
      <c r="A21" s="13" t="s">
        <v>611</v>
      </c>
      <c r="B21" s="13"/>
    </row>
    <row r="22" spans="1:2" x14ac:dyDescent="0.25">
      <c r="A22" s="13" t="s">
        <v>612</v>
      </c>
      <c r="B22" s="13"/>
    </row>
    <row r="23" spans="1:2" x14ac:dyDescent="0.25">
      <c r="A23" s="13" t="s">
        <v>613</v>
      </c>
      <c r="B23" s="13"/>
    </row>
    <row r="24" spans="1:2" x14ac:dyDescent="0.25">
      <c r="A24" s="13" t="s">
        <v>614</v>
      </c>
      <c r="B24" s="13"/>
    </row>
    <row r="25" spans="1:2" x14ac:dyDescent="0.25">
      <c r="A25" s="13" t="s">
        <v>615</v>
      </c>
      <c r="B25" s="13"/>
    </row>
    <row r="26" spans="1:2" x14ac:dyDescent="0.25">
      <c r="A26" s="13" t="s">
        <v>616</v>
      </c>
      <c r="B26" s="13"/>
    </row>
    <row r="27" spans="1:2" x14ac:dyDescent="0.25">
      <c r="A27" s="13" t="s">
        <v>617</v>
      </c>
      <c r="B27" s="13"/>
    </row>
    <row r="28" spans="1:2" x14ac:dyDescent="0.25">
      <c r="A28" s="13" t="s">
        <v>618</v>
      </c>
      <c r="B28" s="13"/>
    </row>
    <row r="29" spans="1:2" x14ac:dyDescent="0.25">
      <c r="A29" s="13" t="s">
        <v>619</v>
      </c>
      <c r="B29" s="13"/>
    </row>
    <row r="30" spans="1:2" x14ac:dyDescent="0.25">
      <c r="A30" s="13" t="s">
        <v>620</v>
      </c>
      <c r="B30" s="13"/>
    </row>
    <row r="31" spans="1:2" x14ac:dyDescent="0.25">
      <c r="A31" s="13" t="s">
        <v>621</v>
      </c>
      <c r="B31" s="13"/>
    </row>
    <row r="32" spans="1:2" x14ac:dyDescent="0.25">
      <c r="A32" s="13" t="s">
        <v>622</v>
      </c>
      <c r="B32" s="13"/>
    </row>
    <row r="33" spans="1:2" x14ac:dyDescent="0.25">
      <c r="A33" s="13" t="s">
        <v>623</v>
      </c>
      <c r="B33" s="13"/>
    </row>
    <row r="34" spans="1:2" x14ac:dyDescent="0.25">
      <c r="A34" s="13" t="s">
        <v>624</v>
      </c>
      <c r="B34" s="13"/>
    </row>
    <row r="35" spans="1:2" x14ac:dyDescent="0.25">
      <c r="A35" s="13" t="s">
        <v>625</v>
      </c>
      <c r="B35" s="13"/>
    </row>
    <row r="36" spans="1:2" x14ac:dyDescent="0.25">
      <c r="A36" s="13" t="s">
        <v>626</v>
      </c>
      <c r="B36" s="13"/>
    </row>
    <row r="37" spans="1:2" x14ac:dyDescent="0.25">
      <c r="A37" s="13" t="s">
        <v>627</v>
      </c>
      <c r="B37" s="13"/>
    </row>
    <row r="38" spans="1:2" x14ac:dyDescent="0.25">
      <c r="A38" s="13" t="s">
        <v>628</v>
      </c>
      <c r="B38" s="13"/>
    </row>
    <row r="39" spans="1:2" x14ac:dyDescent="0.25">
      <c r="A39" s="13" t="s">
        <v>629</v>
      </c>
      <c r="B39" s="13"/>
    </row>
    <row r="40" spans="1:2" x14ac:dyDescent="0.25">
      <c r="A40" s="13" t="s">
        <v>630</v>
      </c>
      <c r="B40" s="13"/>
    </row>
    <row r="41" spans="1:2" x14ac:dyDescent="0.25">
      <c r="A41" s="13" t="s">
        <v>631</v>
      </c>
      <c r="B41" s="13"/>
    </row>
    <row r="42" spans="1:2" x14ac:dyDescent="0.25">
      <c r="A42" s="13" t="s">
        <v>632</v>
      </c>
      <c r="B42" s="13"/>
    </row>
    <row r="43" spans="1:2" x14ac:dyDescent="0.25">
      <c r="A43" s="13" t="s">
        <v>633</v>
      </c>
      <c r="B43" s="13"/>
    </row>
    <row r="44" spans="1:2" x14ac:dyDescent="0.25">
      <c r="A44" s="13" t="s">
        <v>634</v>
      </c>
      <c r="B44" s="13"/>
    </row>
    <row r="45" spans="1:2" x14ac:dyDescent="0.25">
      <c r="A45" s="13" t="s">
        <v>635</v>
      </c>
      <c r="B45" s="13"/>
    </row>
    <row r="46" spans="1:2" x14ac:dyDescent="0.25">
      <c r="A46" s="13" t="s">
        <v>636</v>
      </c>
      <c r="B46" s="13"/>
    </row>
    <row r="47" spans="1:2" x14ac:dyDescent="0.25">
      <c r="A47" s="13" t="s">
        <v>637</v>
      </c>
      <c r="B47" s="13"/>
    </row>
    <row r="48" spans="1:2" x14ac:dyDescent="0.25">
      <c r="A48" s="13" t="s">
        <v>638</v>
      </c>
      <c r="B48" s="13"/>
    </row>
    <row r="49" spans="1:2" x14ac:dyDescent="0.25">
      <c r="A49" s="13" t="s">
        <v>639</v>
      </c>
      <c r="B49" s="13"/>
    </row>
    <row r="50" spans="1:2" x14ac:dyDescent="0.25">
      <c r="A50" s="13" t="s">
        <v>640</v>
      </c>
      <c r="B50" s="13"/>
    </row>
    <row r="51" spans="1:2" x14ac:dyDescent="0.25">
      <c r="A51" s="13" t="s">
        <v>641</v>
      </c>
      <c r="B51" s="13"/>
    </row>
    <row r="52" spans="1:2" x14ac:dyDescent="0.25">
      <c r="A52" s="13" t="s">
        <v>642</v>
      </c>
      <c r="B52" s="13"/>
    </row>
    <row r="53" spans="1:2" x14ac:dyDescent="0.25">
      <c r="A53" s="13" t="s">
        <v>643</v>
      </c>
      <c r="B53" s="13"/>
    </row>
    <row r="54" spans="1:2" x14ac:dyDescent="0.25">
      <c r="A54" s="13" t="s">
        <v>644</v>
      </c>
      <c r="B54" s="13"/>
    </row>
    <row r="55" spans="1:2" x14ac:dyDescent="0.25">
      <c r="A55" s="13" t="s">
        <v>645</v>
      </c>
      <c r="B55" s="13"/>
    </row>
    <row r="56" spans="1:2" x14ac:dyDescent="0.25">
      <c r="A56" s="13" t="s">
        <v>646</v>
      </c>
      <c r="B56" s="13"/>
    </row>
    <row r="57" spans="1:2" x14ac:dyDescent="0.25">
      <c r="A57" s="13" t="s">
        <v>647</v>
      </c>
      <c r="B57" s="13"/>
    </row>
    <row r="58" spans="1:2" x14ac:dyDescent="0.25">
      <c r="A58" s="13" t="s">
        <v>648</v>
      </c>
      <c r="B58" s="13"/>
    </row>
    <row r="59" spans="1:2" x14ac:dyDescent="0.25">
      <c r="A59" s="13" t="s">
        <v>649</v>
      </c>
      <c r="B59" s="13"/>
    </row>
    <row r="60" spans="1:2" x14ac:dyDescent="0.25">
      <c r="A60" s="13" t="s">
        <v>650</v>
      </c>
      <c r="B60" s="13"/>
    </row>
    <row r="61" spans="1:2" x14ac:dyDescent="0.25">
      <c r="A61" s="13" t="s">
        <v>651</v>
      </c>
      <c r="B61" s="13"/>
    </row>
    <row r="62" spans="1:2" x14ac:dyDescent="0.25">
      <c r="A62" s="13" t="s">
        <v>652</v>
      </c>
      <c r="B62" s="13"/>
    </row>
    <row r="63" spans="1:2" x14ac:dyDescent="0.25">
      <c r="A63" s="13" t="s">
        <v>653</v>
      </c>
      <c r="B63" s="13"/>
    </row>
    <row r="64" spans="1:2" x14ac:dyDescent="0.25">
      <c r="A64" s="13" t="s">
        <v>654</v>
      </c>
      <c r="B64" s="13"/>
    </row>
    <row r="65" spans="1:2" x14ac:dyDescent="0.25">
      <c r="A65" s="13" t="s">
        <v>655</v>
      </c>
      <c r="B65" s="13"/>
    </row>
    <row r="66" spans="1:2" x14ac:dyDescent="0.25">
      <c r="A66" s="13" t="s">
        <v>656</v>
      </c>
      <c r="B66" s="13"/>
    </row>
    <row r="67" spans="1:2" x14ac:dyDescent="0.25">
      <c r="A67" s="13" t="s">
        <v>657</v>
      </c>
      <c r="B67" s="13"/>
    </row>
    <row r="68" spans="1:2" x14ac:dyDescent="0.25">
      <c r="A68" s="13" t="s">
        <v>658</v>
      </c>
      <c r="B68" s="13"/>
    </row>
    <row r="69" spans="1:2" x14ac:dyDescent="0.25">
      <c r="A69" s="13" t="s">
        <v>659</v>
      </c>
      <c r="B69" s="13"/>
    </row>
    <row r="70" spans="1:2" x14ac:dyDescent="0.25">
      <c r="A70" s="13" t="s">
        <v>660</v>
      </c>
      <c r="B70" s="13"/>
    </row>
    <row r="71" spans="1:2" x14ac:dyDescent="0.25">
      <c r="A71" s="13" t="s">
        <v>661</v>
      </c>
      <c r="B71" s="13"/>
    </row>
    <row r="72" spans="1:2" x14ac:dyDescent="0.25">
      <c r="A72" s="13" t="s">
        <v>662</v>
      </c>
      <c r="B72" s="13"/>
    </row>
    <row r="73" spans="1:2" x14ac:dyDescent="0.25">
      <c r="A73" s="13" t="s">
        <v>663</v>
      </c>
      <c r="B73" s="13"/>
    </row>
    <row r="74" spans="1:2" x14ac:dyDescent="0.25">
      <c r="A74" s="13" t="s">
        <v>664</v>
      </c>
      <c r="B74" s="13"/>
    </row>
    <row r="75" spans="1:2" x14ac:dyDescent="0.25">
      <c r="A75" s="13" t="s">
        <v>665</v>
      </c>
      <c r="B75" s="13"/>
    </row>
    <row r="76" spans="1:2" x14ac:dyDescent="0.25">
      <c r="A76" s="13" t="s">
        <v>666</v>
      </c>
      <c r="B76" s="13"/>
    </row>
    <row r="77" spans="1:2" x14ac:dyDescent="0.25">
      <c r="A77" s="13" t="s">
        <v>667</v>
      </c>
      <c r="B77" s="13"/>
    </row>
    <row r="78" spans="1:2" x14ac:dyDescent="0.25">
      <c r="A78" s="13" t="s">
        <v>668</v>
      </c>
      <c r="B78" s="13"/>
    </row>
    <row r="79" spans="1:2" x14ac:dyDescent="0.25">
      <c r="A79" s="13" t="s">
        <v>669</v>
      </c>
      <c r="B79" s="13"/>
    </row>
    <row r="80" spans="1:2" x14ac:dyDescent="0.25">
      <c r="A80" s="13" t="s">
        <v>670</v>
      </c>
      <c r="B80" s="13"/>
    </row>
    <row r="81" spans="1:2" x14ac:dyDescent="0.25">
      <c r="A81" s="13" t="s">
        <v>671</v>
      </c>
      <c r="B81" s="13"/>
    </row>
    <row r="82" spans="1:2" x14ac:dyDescent="0.25">
      <c r="A82" s="13" t="s">
        <v>672</v>
      </c>
      <c r="B82" s="13"/>
    </row>
    <row r="83" spans="1:2" x14ac:dyDescent="0.25">
      <c r="A83" s="13" t="s">
        <v>673</v>
      </c>
      <c r="B83" s="13"/>
    </row>
    <row r="84" spans="1:2" x14ac:dyDescent="0.25">
      <c r="A84" s="13" t="s">
        <v>674</v>
      </c>
      <c r="B84" s="13"/>
    </row>
    <row r="85" spans="1:2" x14ac:dyDescent="0.25">
      <c r="A85" s="13" t="s">
        <v>675</v>
      </c>
      <c r="B85" s="13"/>
    </row>
    <row r="86" spans="1:2" x14ac:dyDescent="0.25">
      <c r="A86" s="13" t="s">
        <v>676</v>
      </c>
      <c r="B86" s="13"/>
    </row>
    <row r="87" spans="1:2" x14ac:dyDescent="0.25">
      <c r="A87" s="13" t="s">
        <v>677</v>
      </c>
      <c r="B87" s="13"/>
    </row>
    <row r="88" spans="1:2" x14ac:dyDescent="0.25">
      <c r="A88" s="13" t="s">
        <v>678</v>
      </c>
      <c r="B88" s="13"/>
    </row>
    <row r="89" spans="1:2" x14ac:dyDescent="0.25">
      <c r="A89" s="13" t="s">
        <v>679</v>
      </c>
      <c r="B89" s="13"/>
    </row>
    <row r="90" spans="1:2" x14ac:dyDescent="0.25">
      <c r="A90" s="13" t="s">
        <v>680</v>
      </c>
      <c r="B90" s="13"/>
    </row>
    <row r="91" spans="1:2" x14ac:dyDescent="0.25">
      <c r="A91" s="13" t="s">
        <v>681</v>
      </c>
      <c r="B91" s="13"/>
    </row>
    <row r="92" spans="1:2" x14ac:dyDescent="0.25">
      <c r="A92" s="13" t="s">
        <v>682</v>
      </c>
      <c r="B92" s="13"/>
    </row>
    <row r="93" spans="1:2" x14ac:dyDescent="0.25">
      <c r="A93" s="13" t="s">
        <v>683</v>
      </c>
      <c r="B93" s="13"/>
    </row>
    <row r="94" spans="1:2" x14ac:dyDescent="0.25">
      <c r="A94" s="13" t="s">
        <v>684</v>
      </c>
      <c r="B94" s="13"/>
    </row>
    <row r="95" spans="1:2" x14ac:dyDescent="0.25">
      <c r="A95" s="13" t="s">
        <v>685</v>
      </c>
      <c r="B95" s="13"/>
    </row>
    <row r="96" spans="1:2" x14ac:dyDescent="0.25">
      <c r="A96" s="13" t="s">
        <v>686</v>
      </c>
      <c r="B96" s="13"/>
    </row>
    <row r="97" spans="1:2" x14ac:dyDescent="0.25">
      <c r="A97" s="13" t="s">
        <v>687</v>
      </c>
      <c r="B97" s="13"/>
    </row>
    <row r="98" spans="1:2" x14ac:dyDescent="0.25">
      <c r="A98" s="13" t="s">
        <v>688</v>
      </c>
      <c r="B98" s="13"/>
    </row>
    <row r="99" spans="1:2" x14ac:dyDescent="0.25">
      <c r="A99" s="13" t="s">
        <v>689</v>
      </c>
      <c r="B99" s="13"/>
    </row>
    <row r="100" spans="1:2" x14ac:dyDescent="0.25">
      <c r="A100" s="13" t="s">
        <v>690</v>
      </c>
      <c r="B100" s="13"/>
    </row>
    <row r="101" spans="1:2" x14ac:dyDescent="0.25">
      <c r="A101" s="13" t="s">
        <v>691</v>
      </c>
      <c r="B101" s="13"/>
    </row>
    <row r="102" spans="1:2" x14ac:dyDescent="0.25">
      <c r="A102" s="13" t="s">
        <v>692</v>
      </c>
      <c r="B102" s="13"/>
    </row>
    <row r="103" spans="1:2" x14ac:dyDescent="0.25">
      <c r="A103" s="13" t="s">
        <v>693</v>
      </c>
      <c r="B103" s="13"/>
    </row>
    <row r="104" spans="1:2" x14ac:dyDescent="0.25">
      <c r="A104" s="13" t="s">
        <v>694</v>
      </c>
      <c r="B104" s="13"/>
    </row>
    <row r="105" spans="1:2" x14ac:dyDescent="0.25">
      <c r="A105" s="13" t="s">
        <v>695</v>
      </c>
      <c r="B105" s="13"/>
    </row>
    <row r="106" spans="1:2" x14ac:dyDescent="0.25">
      <c r="A106" s="13" t="s">
        <v>696</v>
      </c>
      <c r="B106" s="13"/>
    </row>
    <row r="107" spans="1:2" x14ac:dyDescent="0.25">
      <c r="A107" s="13" t="s">
        <v>697</v>
      </c>
      <c r="B107" s="13"/>
    </row>
    <row r="108" spans="1:2" x14ac:dyDescent="0.25">
      <c r="A108" s="13" t="s">
        <v>698</v>
      </c>
      <c r="B108" s="13"/>
    </row>
    <row r="109" spans="1:2" x14ac:dyDescent="0.25">
      <c r="A109" s="13" t="s">
        <v>699</v>
      </c>
      <c r="B109" s="13"/>
    </row>
    <row r="110" spans="1:2" x14ac:dyDescent="0.25">
      <c r="A110" s="13" t="s">
        <v>700</v>
      </c>
      <c r="B110" s="13"/>
    </row>
    <row r="111" spans="1:2" x14ac:dyDescent="0.25">
      <c r="A111" s="13" t="s">
        <v>701</v>
      </c>
      <c r="B111" s="13"/>
    </row>
    <row r="112" spans="1:2" x14ac:dyDescent="0.25">
      <c r="A112" s="13" t="s">
        <v>702</v>
      </c>
      <c r="B112" s="13"/>
    </row>
    <row r="113" spans="1:2" x14ac:dyDescent="0.25">
      <c r="A113" s="13" t="s">
        <v>703</v>
      </c>
      <c r="B113" s="13"/>
    </row>
    <row r="114" spans="1:2" x14ac:dyDescent="0.25">
      <c r="A114" s="13" t="s">
        <v>704</v>
      </c>
      <c r="B114" s="13"/>
    </row>
    <row r="115" spans="1:2" x14ac:dyDescent="0.25">
      <c r="A115" s="13" t="s">
        <v>705</v>
      </c>
      <c r="B115" s="13"/>
    </row>
    <row r="116" spans="1:2" x14ac:dyDescent="0.25">
      <c r="A116" s="13" t="s">
        <v>706</v>
      </c>
      <c r="B116" s="13"/>
    </row>
    <row r="117" spans="1:2" x14ac:dyDescent="0.25">
      <c r="A117" s="13" t="s">
        <v>707</v>
      </c>
      <c r="B117" s="13"/>
    </row>
    <row r="118" spans="1:2" x14ac:dyDescent="0.25">
      <c r="A118" s="13" t="s">
        <v>708</v>
      </c>
      <c r="B118" s="13"/>
    </row>
    <row r="119" spans="1:2" x14ac:dyDescent="0.25">
      <c r="A119" s="13" t="s">
        <v>709</v>
      </c>
      <c r="B119" s="13"/>
    </row>
    <row r="120" spans="1:2" x14ac:dyDescent="0.25">
      <c r="A120" s="13" t="s">
        <v>710</v>
      </c>
      <c r="B120" s="13"/>
    </row>
    <row r="121" spans="1:2" x14ac:dyDescent="0.25">
      <c r="A121" s="13" t="s">
        <v>711</v>
      </c>
      <c r="B121" s="13"/>
    </row>
    <row r="122" spans="1:2" x14ac:dyDescent="0.25">
      <c r="A122" s="13" t="s">
        <v>712</v>
      </c>
      <c r="B122" s="13"/>
    </row>
    <row r="123" spans="1:2" x14ac:dyDescent="0.25">
      <c r="A123" s="13" t="s">
        <v>713</v>
      </c>
      <c r="B123" s="13"/>
    </row>
    <row r="124" spans="1:2" x14ac:dyDescent="0.25">
      <c r="A124" s="13" t="s">
        <v>714</v>
      </c>
      <c r="B124" s="13"/>
    </row>
    <row r="125" spans="1:2" x14ac:dyDescent="0.25">
      <c r="A125" s="13" t="s">
        <v>715</v>
      </c>
      <c r="B125" s="13"/>
    </row>
    <row r="126" spans="1:2" x14ac:dyDescent="0.25">
      <c r="A126" s="13" t="s">
        <v>716</v>
      </c>
      <c r="B126" s="13"/>
    </row>
    <row r="127" spans="1:2" x14ac:dyDescent="0.25">
      <c r="A127" s="13" t="s">
        <v>717</v>
      </c>
      <c r="B127" s="13"/>
    </row>
    <row r="128" spans="1:2" x14ac:dyDescent="0.25">
      <c r="A128" s="13" t="s">
        <v>718</v>
      </c>
      <c r="B128" s="13"/>
    </row>
    <row r="129" spans="1:2" x14ac:dyDescent="0.25">
      <c r="A129" s="13" t="s">
        <v>719</v>
      </c>
      <c r="B129" s="13"/>
    </row>
    <row r="130" spans="1:2" x14ac:dyDescent="0.25">
      <c r="A130" s="13" t="s">
        <v>720</v>
      </c>
      <c r="B130" s="13"/>
    </row>
    <row r="131" spans="1:2" x14ac:dyDescent="0.25">
      <c r="A131" s="13" t="s">
        <v>721</v>
      </c>
      <c r="B131" s="13"/>
    </row>
    <row r="132" spans="1:2" x14ac:dyDescent="0.25">
      <c r="A132" s="13" t="s">
        <v>722</v>
      </c>
      <c r="B132" s="13"/>
    </row>
    <row r="133" spans="1:2" x14ac:dyDescent="0.25">
      <c r="A133" s="13" t="s">
        <v>723</v>
      </c>
      <c r="B133" s="13"/>
    </row>
    <row r="134" spans="1:2" x14ac:dyDescent="0.25">
      <c r="A134" s="13" t="s">
        <v>724</v>
      </c>
      <c r="B134" s="13"/>
    </row>
    <row r="135" spans="1:2" x14ac:dyDescent="0.25">
      <c r="A135" s="13" t="s">
        <v>725</v>
      </c>
      <c r="B135" s="13"/>
    </row>
    <row r="136" spans="1:2" x14ac:dyDescent="0.25">
      <c r="A136" s="13" t="s">
        <v>726</v>
      </c>
      <c r="B136" s="13"/>
    </row>
    <row r="137" spans="1:2" x14ac:dyDescent="0.25">
      <c r="A137" s="13" t="s">
        <v>727</v>
      </c>
      <c r="B137" s="13"/>
    </row>
    <row r="138" spans="1:2" x14ac:dyDescent="0.25">
      <c r="A138" s="13" t="s">
        <v>728</v>
      </c>
      <c r="B138" s="13"/>
    </row>
    <row r="139" spans="1:2" x14ac:dyDescent="0.25">
      <c r="A139" s="13" t="s">
        <v>729</v>
      </c>
      <c r="B139" s="13"/>
    </row>
    <row r="140" spans="1:2" x14ac:dyDescent="0.25">
      <c r="A140" s="13" t="s">
        <v>730</v>
      </c>
      <c r="B140" s="13"/>
    </row>
    <row r="141" spans="1:2" x14ac:dyDescent="0.25">
      <c r="A141" s="13" t="s">
        <v>731</v>
      </c>
      <c r="B141" s="13"/>
    </row>
    <row r="142" spans="1:2" x14ac:dyDescent="0.25">
      <c r="A142" s="13" t="s">
        <v>732</v>
      </c>
      <c r="B142" s="13"/>
    </row>
    <row r="143" spans="1:2" x14ac:dyDescent="0.25">
      <c r="A143" s="13" t="s">
        <v>733</v>
      </c>
      <c r="B143" s="13"/>
    </row>
    <row r="144" spans="1:2" x14ac:dyDescent="0.25">
      <c r="A144" s="13" t="s">
        <v>734</v>
      </c>
      <c r="B144" s="13"/>
    </row>
    <row r="145" spans="1:2" x14ac:dyDescent="0.25">
      <c r="A145" s="13" t="s">
        <v>735</v>
      </c>
      <c r="B145" s="13"/>
    </row>
    <row r="146" spans="1:2" x14ac:dyDescent="0.25">
      <c r="A146" s="13" t="s">
        <v>736</v>
      </c>
      <c r="B146" s="13"/>
    </row>
    <row r="147" spans="1:2" x14ac:dyDescent="0.25">
      <c r="A147" s="13" t="s">
        <v>737</v>
      </c>
      <c r="B147" s="13"/>
    </row>
    <row r="148" spans="1:2" x14ac:dyDescent="0.25">
      <c r="A148" s="13" t="s">
        <v>738</v>
      </c>
      <c r="B148" s="13"/>
    </row>
    <row r="149" spans="1:2" x14ac:dyDescent="0.25">
      <c r="A149" s="13" t="s">
        <v>739</v>
      </c>
      <c r="B149" s="13"/>
    </row>
    <row r="150" spans="1:2" x14ac:dyDescent="0.25">
      <c r="A150" s="13" t="s">
        <v>740</v>
      </c>
      <c r="B150" s="13"/>
    </row>
    <row r="151" spans="1:2" x14ac:dyDescent="0.25">
      <c r="A151" s="13" t="s">
        <v>741</v>
      </c>
      <c r="B151" s="13"/>
    </row>
    <row r="152" spans="1:2" x14ac:dyDescent="0.25">
      <c r="A152" s="13" t="s">
        <v>742</v>
      </c>
      <c r="B152" s="13"/>
    </row>
    <row r="153" spans="1:2" x14ac:dyDescent="0.25">
      <c r="A153" s="13" t="s">
        <v>743</v>
      </c>
      <c r="B153" s="13"/>
    </row>
    <row r="154" spans="1:2" x14ac:dyDescent="0.25">
      <c r="A154" s="13" t="s">
        <v>744</v>
      </c>
      <c r="B154" s="13"/>
    </row>
    <row r="155" spans="1:2" x14ac:dyDescent="0.25">
      <c r="A155" s="13" t="s">
        <v>745</v>
      </c>
      <c r="B155" s="13"/>
    </row>
    <row r="156" spans="1:2" x14ac:dyDescent="0.25">
      <c r="A156" s="13" t="s">
        <v>746</v>
      </c>
      <c r="B156" s="13"/>
    </row>
    <row r="157" spans="1:2" x14ac:dyDescent="0.25">
      <c r="A157" s="13" t="s">
        <v>747</v>
      </c>
      <c r="B157" s="13"/>
    </row>
    <row r="158" spans="1:2" x14ac:dyDescent="0.25">
      <c r="A158" s="13" t="s">
        <v>748</v>
      </c>
      <c r="B158" s="13"/>
    </row>
    <row r="159" spans="1:2" x14ac:dyDescent="0.25">
      <c r="A159" s="13" t="s">
        <v>749</v>
      </c>
      <c r="B159" s="13"/>
    </row>
    <row r="160" spans="1:2" x14ac:dyDescent="0.25">
      <c r="A160" s="13" t="s">
        <v>750</v>
      </c>
      <c r="B160" s="13"/>
    </row>
    <row r="161" spans="1:2" x14ac:dyDescent="0.25">
      <c r="A161" s="13" t="s">
        <v>751</v>
      </c>
      <c r="B161" s="13"/>
    </row>
    <row r="162" spans="1:2" x14ac:dyDescent="0.25">
      <c r="A162" s="13" t="s">
        <v>752</v>
      </c>
      <c r="B162" s="13"/>
    </row>
    <row r="163" spans="1:2" x14ac:dyDescent="0.25">
      <c r="A163" s="13" t="s">
        <v>753</v>
      </c>
      <c r="B163" s="13"/>
    </row>
    <row r="164" spans="1:2" x14ac:dyDescent="0.25">
      <c r="A164" s="13" t="s">
        <v>754</v>
      </c>
      <c r="B164" s="13"/>
    </row>
    <row r="165" spans="1:2" x14ac:dyDescent="0.25">
      <c r="A165" s="13" t="s">
        <v>755</v>
      </c>
      <c r="B165" s="13"/>
    </row>
    <row r="166" spans="1:2" x14ac:dyDescent="0.25">
      <c r="A166" s="13" t="s">
        <v>756</v>
      </c>
      <c r="B166" s="13"/>
    </row>
    <row r="167" spans="1:2" x14ac:dyDescent="0.25">
      <c r="A167" s="13" t="s">
        <v>757</v>
      </c>
      <c r="B167" s="13"/>
    </row>
    <row r="168" spans="1:2" x14ac:dyDescent="0.25">
      <c r="A168" s="13" t="s">
        <v>758</v>
      </c>
      <c r="B168" s="13"/>
    </row>
    <row r="169" spans="1:2" x14ac:dyDescent="0.25">
      <c r="A169" s="13" t="s">
        <v>759</v>
      </c>
      <c r="B169" s="13"/>
    </row>
    <row r="170" spans="1:2" x14ac:dyDescent="0.25">
      <c r="A170" s="13" t="s">
        <v>760</v>
      </c>
      <c r="B170" s="13"/>
    </row>
    <row r="171" spans="1:2" x14ac:dyDescent="0.25">
      <c r="A171" s="13" t="s">
        <v>761</v>
      </c>
      <c r="B171" s="13"/>
    </row>
    <row r="172" spans="1:2" x14ac:dyDescent="0.25">
      <c r="A172" s="13" t="s">
        <v>762</v>
      </c>
      <c r="B172" s="13"/>
    </row>
    <row r="173" spans="1:2" x14ac:dyDescent="0.25">
      <c r="A173" s="13" t="s">
        <v>763</v>
      </c>
      <c r="B173" s="13"/>
    </row>
    <row r="174" spans="1:2" x14ac:dyDescent="0.25">
      <c r="A174" s="13" t="s">
        <v>764</v>
      </c>
      <c r="B174" s="13"/>
    </row>
    <row r="175" spans="1:2" x14ac:dyDescent="0.25">
      <c r="A175" s="13" t="s">
        <v>765</v>
      </c>
      <c r="B175" s="13"/>
    </row>
    <row r="176" spans="1:2" x14ac:dyDescent="0.25">
      <c r="A176" s="13" t="s">
        <v>766</v>
      </c>
      <c r="B176" s="13"/>
    </row>
    <row r="177" spans="1:2" x14ac:dyDescent="0.25">
      <c r="A177" s="13" t="s">
        <v>767</v>
      </c>
      <c r="B177" s="13"/>
    </row>
    <row r="178" spans="1:2" x14ac:dyDescent="0.25">
      <c r="A178" s="13" t="s">
        <v>768</v>
      </c>
      <c r="B178" s="13"/>
    </row>
    <row r="179" spans="1:2" x14ac:dyDescent="0.25">
      <c r="A179" s="13" t="s">
        <v>769</v>
      </c>
      <c r="B179" s="13"/>
    </row>
    <row r="180" spans="1:2" x14ac:dyDescent="0.25">
      <c r="A180" s="13" t="s">
        <v>770</v>
      </c>
      <c r="B180" s="13"/>
    </row>
    <row r="181" spans="1:2" x14ac:dyDescent="0.25">
      <c r="A181" s="13" t="s">
        <v>771</v>
      </c>
      <c r="B181" s="13"/>
    </row>
    <row r="182" spans="1:2" x14ac:dyDescent="0.25">
      <c r="A182" s="13" t="s">
        <v>772</v>
      </c>
      <c r="B182" s="13"/>
    </row>
    <row r="183" spans="1:2" x14ac:dyDescent="0.25">
      <c r="A183" s="13" t="s">
        <v>773</v>
      </c>
      <c r="B183" s="13"/>
    </row>
    <row r="184" spans="1:2" x14ac:dyDescent="0.25">
      <c r="A184" s="13" t="s">
        <v>774</v>
      </c>
      <c r="B184" s="13"/>
    </row>
    <row r="185" spans="1:2" x14ac:dyDescent="0.25">
      <c r="A185" s="13" t="s">
        <v>775</v>
      </c>
      <c r="B185" s="13"/>
    </row>
    <row r="186" spans="1:2" x14ac:dyDescent="0.25">
      <c r="A186" s="13" t="s">
        <v>776</v>
      </c>
      <c r="B186" s="13"/>
    </row>
    <row r="187" spans="1:2" x14ac:dyDescent="0.25">
      <c r="A187" s="13" t="s">
        <v>777</v>
      </c>
      <c r="B187" s="13"/>
    </row>
    <row r="188" spans="1:2" x14ac:dyDescent="0.25">
      <c r="A188" s="13" t="s">
        <v>778</v>
      </c>
      <c r="B188" s="13"/>
    </row>
    <row r="189" spans="1:2" x14ac:dyDescent="0.25">
      <c r="A189" s="13" t="s">
        <v>779</v>
      </c>
      <c r="B189" s="13"/>
    </row>
    <row r="190" spans="1:2" x14ac:dyDescent="0.25">
      <c r="A190" s="13" t="s">
        <v>780</v>
      </c>
      <c r="B190" s="13"/>
    </row>
    <row r="191" spans="1:2" x14ac:dyDescent="0.25">
      <c r="A191" s="13" t="s">
        <v>781</v>
      </c>
      <c r="B191" s="13"/>
    </row>
    <row r="192" spans="1:2" x14ac:dyDescent="0.25">
      <c r="A192" s="13" t="s">
        <v>782</v>
      </c>
      <c r="B192" s="13"/>
    </row>
    <row r="193" spans="1:2" x14ac:dyDescent="0.25">
      <c r="A193" s="13" t="s">
        <v>783</v>
      </c>
      <c r="B193" s="13"/>
    </row>
    <row r="194" spans="1:2" x14ac:dyDescent="0.25">
      <c r="A194" s="13" t="s">
        <v>784</v>
      </c>
      <c r="B194" s="13"/>
    </row>
    <row r="195" spans="1:2" x14ac:dyDescent="0.25">
      <c r="A195" s="13" t="s">
        <v>785</v>
      </c>
      <c r="B195" s="13"/>
    </row>
    <row r="196" spans="1:2" x14ac:dyDescent="0.25">
      <c r="A196" s="13" t="s">
        <v>786</v>
      </c>
      <c r="B196" s="13"/>
    </row>
    <row r="197" spans="1:2" x14ac:dyDescent="0.25">
      <c r="A197" s="13" t="s">
        <v>787</v>
      </c>
      <c r="B197" s="13"/>
    </row>
    <row r="198" spans="1:2" x14ac:dyDescent="0.25">
      <c r="A198" s="13" t="s">
        <v>788</v>
      </c>
      <c r="B198" s="13"/>
    </row>
    <row r="199" spans="1:2" x14ac:dyDescent="0.25">
      <c r="A199" s="13" t="s">
        <v>789</v>
      </c>
      <c r="B199" s="13"/>
    </row>
    <row r="200" spans="1:2" x14ac:dyDescent="0.25">
      <c r="A200" s="13" t="s">
        <v>790</v>
      </c>
      <c r="B200" s="13"/>
    </row>
    <row r="201" spans="1:2" x14ac:dyDescent="0.25">
      <c r="A201" s="13" t="s">
        <v>791</v>
      </c>
      <c r="B201" s="13"/>
    </row>
    <row r="202" spans="1:2" x14ac:dyDescent="0.25">
      <c r="A202" s="13" t="s">
        <v>792</v>
      </c>
      <c r="B202" s="13"/>
    </row>
    <row r="203" spans="1:2" x14ac:dyDescent="0.25">
      <c r="A203" s="13" t="s">
        <v>793</v>
      </c>
      <c r="B203" s="13"/>
    </row>
    <row r="204" spans="1:2" x14ac:dyDescent="0.25">
      <c r="A204" s="13" t="s">
        <v>794</v>
      </c>
      <c r="B204" s="13"/>
    </row>
    <row r="205" spans="1:2" x14ac:dyDescent="0.25">
      <c r="A205" s="13" t="s">
        <v>795</v>
      </c>
      <c r="B205" s="13"/>
    </row>
    <row r="206" spans="1:2" x14ac:dyDescent="0.25">
      <c r="A206" s="13" t="s">
        <v>796</v>
      </c>
      <c r="B206" s="13"/>
    </row>
    <row r="207" spans="1:2" x14ac:dyDescent="0.25">
      <c r="A207" s="13" t="s">
        <v>797</v>
      </c>
      <c r="B207" s="13"/>
    </row>
    <row r="208" spans="1:2" x14ac:dyDescent="0.25">
      <c r="A208" s="13" t="s">
        <v>798</v>
      </c>
      <c r="B208" s="13"/>
    </row>
    <row r="209" spans="1:2" x14ac:dyDescent="0.25">
      <c r="A209" s="13" t="s">
        <v>799</v>
      </c>
      <c r="B209" s="13"/>
    </row>
    <row r="210" spans="1:2" x14ac:dyDescent="0.25">
      <c r="A210" s="13" t="s">
        <v>800</v>
      </c>
      <c r="B210" s="13"/>
    </row>
    <row r="211" spans="1:2" x14ac:dyDescent="0.25">
      <c r="A211" s="13" t="s">
        <v>801</v>
      </c>
      <c r="B211" s="13"/>
    </row>
    <row r="212" spans="1:2" x14ac:dyDescent="0.25">
      <c r="A212" s="13" t="s">
        <v>802</v>
      </c>
      <c r="B212" s="13"/>
    </row>
    <row r="213" spans="1:2" x14ac:dyDescent="0.25">
      <c r="A213" s="13" t="s">
        <v>803</v>
      </c>
      <c r="B213" s="13"/>
    </row>
    <row r="214" spans="1:2" x14ac:dyDescent="0.25">
      <c r="A214" s="13" t="s">
        <v>804</v>
      </c>
      <c r="B214" s="13"/>
    </row>
    <row r="215" spans="1:2" x14ac:dyDescent="0.25">
      <c r="A215" s="13" t="s">
        <v>29</v>
      </c>
      <c r="B215" s="13"/>
    </row>
    <row r="216" spans="1:2" x14ac:dyDescent="0.25">
      <c r="A216" s="13" t="s">
        <v>805</v>
      </c>
      <c r="B216" s="13"/>
    </row>
    <row r="217" spans="1:2" x14ac:dyDescent="0.25">
      <c r="A217" s="13" t="s">
        <v>806</v>
      </c>
      <c r="B217" s="13"/>
    </row>
    <row r="218" spans="1:2" x14ac:dyDescent="0.25">
      <c r="A218" s="13" t="s">
        <v>807</v>
      </c>
      <c r="B218" s="13"/>
    </row>
    <row r="219" spans="1:2" x14ac:dyDescent="0.25">
      <c r="A219" s="13" t="s">
        <v>808</v>
      </c>
      <c r="B219" s="13"/>
    </row>
    <row r="220" spans="1:2" x14ac:dyDescent="0.25">
      <c r="A220" s="13" t="s">
        <v>809</v>
      </c>
      <c r="B220" s="13"/>
    </row>
    <row r="221" spans="1:2" x14ac:dyDescent="0.25">
      <c r="A221" s="13" t="s">
        <v>810</v>
      </c>
      <c r="B221" s="13"/>
    </row>
    <row r="222" spans="1:2" x14ac:dyDescent="0.25">
      <c r="A222" s="13" t="s">
        <v>811</v>
      </c>
      <c r="B222" s="13"/>
    </row>
    <row r="223" spans="1:2" x14ac:dyDescent="0.25">
      <c r="A223" s="13" t="s">
        <v>812</v>
      </c>
      <c r="B223" s="13"/>
    </row>
    <row r="224" spans="1:2" x14ac:dyDescent="0.25">
      <c r="A224" s="13" t="s">
        <v>813</v>
      </c>
      <c r="B224" s="13"/>
    </row>
    <row r="225" spans="1:2" x14ac:dyDescent="0.25">
      <c r="A225" s="13" t="s">
        <v>814</v>
      </c>
      <c r="B225" s="13"/>
    </row>
    <row r="226" spans="1:2" x14ac:dyDescent="0.25">
      <c r="A226" s="13" t="s">
        <v>815</v>
      </c>
      <c r="B226" s="13"/>
    </row>
    <row r="227" spans="1:2" x14ac:dyDescent="0.25">
      <c r="A227" s="13" t="s">
        <v>816</v>
      </c>
      <c r="B227" s="13"/>
    </row>
    <row r="228" spans="1:2" x14ac:dyDescent="0.25">
      <c r="A228" s="13" t="s">
        <v>817</v>
      </c>
      <c r="B228" s="13"/>
    </row>
    <row r="229" spans="1:2" x14ac:dyDescent="0.25">
      <c r="A229" s="13" t="s">
        <v>818</v>
      </c>
      <c r="B229" s="13"/>
    </row>
    <row r="230" spans="1:2" x14ac:dyDescent="0.25">
      <c r="A230" s="13" t="s">
        <v>819</v>
      </c>
      <c r="B230" s="13"/>
    </row>
    <row r="231" spans="1:2" x14ac:dyDescent="0.25">
      <c r="A231" s="13" t="s">
        <v>820</v>
      </c>
      <c r="B231" s="13"/>
    </row>
    <row r="232" spans="1:2" x14ac:dyDescent="0.25">
      <c r="A232" s="13" t="s">
        <v>821</v>
      </c>
      <c r="B232" s="13"/>
    </row>
    <row r="233" spans="1:2" x14ac:dyDescent="0.25">
      <c r="A233" s="13" t="s">
        <v>822</v>
      </c>
      <c r="B233" s="13"/>
    </row>
    <row r="234" spans="1:2" x14ac:dyDescent="0.25">
      <c r="A234" s="13" t="s">
        <v>823</v>
      </c>
      <c r="B234" s="13"/>
    </row>
    <row r="235" spans="1:2" x14ac:dyDescent="0.25">
      <c r="A235" s="13" t="s">
        <v>824</v>
      </c>
      <c r="B235" s="13"/>
    </row>
    <row r="236" spans="1:2" x14ac:dyDescent="0.25">
      <c r="A236" s="13" t="s">
        <v>825</v>
      </c>
      <c r="B236" s="13"/>
    </row>
    <row r="237" spans="1:2" x14ac:dyDescent="0.25">
      <c r="A237" s="13" t="s">
        <v>826</v>
      </c>
      <c r="B237" s="13"/>
    </row>
    <row r="238" spans="1:2" x14ac:dyDescent="0.25">
      <c r="A238" s="13" t="s">
        <v>827</v>
      </c>
      <c r="B238" s="13"/>
    </row>
    <row r="239" spans="1:2" x14ac:dyDescent="0.25">
      <c r="A239" s="13" t="s">
        <v>828</v>
      </c>
      <c r="B239" s="13"/>
    </row>
    <row r="240" spans="1:2" x14ac:dyDescent="0.25">
      <c r="A240" s="13" t="s">
        <v>829</v>
      </c>
      <c r="B240" s="13"/>
    </row>
    <row r="241" spans="1:2" x14ac:dyDescent="0.25">
      <c r="A241" s="13" t="s">
        <v>830</v>
      </c>
      <c r="B241" s="13"/>
    </row>
    <row r="242" spans="1:2" x14ac:dyDescent="0.25">
      <c r="A242" s="13" t="s">
        <v>831</v>
      </c>
      <c r="B242" s="13"/>
    </row>
    <row r="243" spans="1:2" x14ac:dyDescent="0.25">
      <c r="A243" s="13" t="s">
        <v>832</v>
      </c>
      <c r="B243" s="13"/>
    </row>
    <row r="244" spans="1:2" x14ac:dyDescent="0.25">
      <c r="A244" s="13" t="s">
        <v>833</v>
      </c>
      <c r="B244" s="13"/>
    </row>
    <row r="245" spans="1:2" x14ac:dyDescent="0.25">
      <c r="A245" s="13" t="s">
        <v>834</v>
      </c>
      <c r="B245" s="13"/>
    </row>
    <row r="246" spans="1:2" x14ac:dyDescent="0.25">
      <c r="A246" s="13" t="s">
        <v>835</v>
      </c>
      <c r="B246" s="13"/>
    </row>
    <row r="247" spans="1:2" x14ac:dyDescent="0.25">
      <c r="A247" s="13" t="s">
        <v>836</v>
      </c>
      <c r="B247" s="13"/>
    </row>
    <row r="248" spans="1:2" x14ac:dyDescent="0.25">
      <c r="A248" s="13" t="s">
        <v>837</v>
      </c>
      <c r="B248" s="13"/>
    </row>
    <row r="249" spans="1:2" x14ac:dyDescent="0.25">
      <c r="A249" s="13" t="s">
        <v>838</v>
      </c>
      <c r="B249" s="13"/>
    </row>
    <row r="250" spans="1:2" x14ac:dyDescent="0.25">
      <c r="A250" s="13" t="s">
        <v>839</v>
      </c>
      <c r="B250" s="13"/>
    </row>
    <row r="251" spans="1:2" x14ac:dyDescent="0.25">
      <c r="A251" s="13" t="s">
        <v>840</v>
      </c>
      <c r="B251" s="13"/>
    </row>
    <row r="252" spans="1:2" x14ac:dyDescent="0.25">
      <c r="A252" s="13" t="s">
        <v>841</v>
      </c>
      <c r="B252" s="13"/>
    </row>
    <row r="253" spans="1:2" x14ac:dyDescent="0.25">
      <c r="A253" s="13" t="s">
        <v>842</v>
      </c>
      <c r="B253" s="13"/>
    </row>
    <row r="254" spans="1:2" x14ac:dyDescent="0.25">
      <c r="A254" s="13" t="s">
        <v>843</v>
      </c>
      <c r="B254" s="13"/>
    </row>
    <row r="255" spans="1:2" x14ac:dyDescent="0.25">
      <c r="A255" s="13" t="s">
        <v>844</v>
      </c>
      <c r="B255" s="13"/>
    </row>
    <row r="256" spans="1:2" x14ac:dyDescent="0.25">
      <c r="A256" s="13" t="s">
        <v>845</v>
      </c>
      <c r="B256" s="13"/>
    </row>
  </sheetData>
  <mergeCells count="253"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8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1" t="s">
        <v>571</v>
      </c>
      <c r="B1" s="12" t="s">
        <v>71</v>
      </c>
    </row>
    <row r="2" spans="1:2" x14ac:dyDescent="0.25">
      <c r="A2" s="11" t="s">
        <v>572</v>
      </c>
      <c r="B2" s="12" t="s">
        <v>76</v>
      </c>
    </row>
    <row r="3" spans="1:2" x14ac:dyDescent="0.25">
      <c r="A3" s="11" t="s">
        <v>573</v>
      </c>
      <c r="B3" s="12" t="s">
        <v>19</v>
      </c>
    </row>
    <row r="4" spans="1:2" x14ac:dyDescent="0.25">
      <c r="A4" s="13" t="s">
        <v>77</v>
      </c>
      <c r="B4" s="13"/>
    </row>
    <row r="5" spans="1:2" x14ac:dyDescent="0.25">
      <c r="A5" s="13" t="s">
        <v>846</v>
      </c>
      <c r="B5" s="13"/>
    </row>
    <row r="6" spans="1:2" x14ac:dyDescent="0.25">
      <c r="A6" s="13" t="s">
        <v>847</v>
      </c>
      <c r="B6" s="13"/>
    </row>
    <row r="7" spans="1:2" x14ac:dyDescent="0.25">
      <c r="A7" s="13" t="s">
        <v>848</v>
      </c>
      <c r="B7" s="13"/>
    </row>
    <row r="8" spans="1:2" x14ac:dyDescent="0.25">
      <c r="A8" s="13" t="s">
        <v>849</v>
      </c>
      <c r="B8" s="13"/>
    </row>
  </sheetData>
  <mergeCells count="5">
    <mergeCell ref="A4:B4"/>
    <mergeCell ref="A5:B5"/>
    <mergeCell ref="A6:B6"/>
    <mergeCell ref="A7:B7"/>
    <mergeCell ref="A8:B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5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1" t="s">
        <v>571</v>
      </c>
      <c r="B1" s="12" t="s">
        <v>116</v>
      </c>
    </row>
    <row r="2" spans="1:2" x14ac:dyDescent="0.25">
      <c r="A2" s="11" t="s">
        <v>572</v>
      </c>
      <c r="B2" s="12" t="s">
        <v>132</v>
      </c>
    </row>
    <row r="3" spans="1:2" x14ac:dyDescent="0.25">
      <c r="A3" s="11" t="s">
        <v>573</v>
      </c>
      <c r="B3" s="12" t="s">
        <v>19</v>
      </c>
    </row>
    <row r="4" spans="1:2" x14ac:dyDescent="0.25">
      <c r="A4" s="13" t="s">
        <v>133</v>
      </c>
      <c r="B4" s="13"/>
    </row>
    <row r="5" spans="1:2" x14ac:dyDescent="0.25">
      <c r="A5" s="13" t="s">
        <v>850</v>
      </c>
      <c r="B5" s="13"/>
    </row>
  </sheetData>
  <mergeCells count="2">
    <mergeCell ref="A4:B4"/>
    <mergeCell ref="A5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6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1" t="s">
        <v>571</v>
      </c>
      <c r="B1" s="12" t="s">
        <v>170</v>
      </c>
    </row>
    <row r="2" spans="1:2" x14ac:dyDescent="0.25">
      <c r="A2" s="11" t="s">
        <v>572</v>
      </c>
      <c r="B2" s="12" t="s">
        <v>182</v>
      </c>
    </row>
    <row r="3" spans="1:2" x14ac:dyDescent="0.25">
      <c r="A3" s="11" t="s">
        <v>573</v>
      </c>
      <c r="B3" s="12" t="s">
        <v>19</v>
      </c>
    </row>
    <row r="4" spans="1:2" x14ac:dyDescent="0.25">
      <c r="A4" s="13" t="s">
        <v>183</v>
      </c>
      <c r="B4" s="13"/>
    </row>
    <row r="5" spans="1:2" x14ac:dyDescent="0.25">
      <c r="A5" s="13" t="s">
        <v>851</v>
      </c>
      <c r="B5" s="13"/>
    </row>
    <row r="6" spans="1:2" x14ac:dyDescent="0.25">
      <c r="A6" s="13" t="s">
        <v>852</v>
      </c>
      <c r="B6" s="13"/>
    </row>
  </sheetData>
  <mergeCells count="3">
    <mergeCell ref="A4:B4"/>
    <mergeCell ref="A5:B5"/>
    <mergeCell ref="A6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6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1" t="s">
        <v>571</v>
      </c>
      <c r="B1" s="12" t="s">
        <v>170</v>
      </c>
    </row>
    <row r="2" spans="1:2" x14ac:dyDescent="0.25">
      <c r="A2" s="11" t="s">
        <v>572</v>
      </c>
      <c r="B2" s="12" t="s">
        <v>190</v>
      </c>
    </row>
    <row r="3" spans="1:2" x14ac:dyDescent="0.25">
      <c r="A3" s="11" t="s">
        <v>573</v>
      </c>
      <c r="B3" s="12" t="s">
        <v>19</v>
      </c>
    </row>
    <row r="4" spans="1:2" x14ac:dyDescent="0.25">
      <c r="A4" s="13" t="s">
        <v>191</v>
      </c>
      <c r="B4" s="13"/>
    </row>
    <row r="5" spans="1:2" x14ac:dyDescent="0.25">
      <c r="A5" s="13" t="s">
        <v>853</v>
      </c>
      <c r="B5" s="13"/>
    </row>
    <row r="6" spans="1:2" x14ac:dyDescent="0.25">
      <c r="A6" s="13" t="s">
        <v>854</v>
      </c>
      <c r="B6" s="13"/>
    </row>
  </sheetData>
  <mergeCells count="3">
    <mergeCell ref="A4:B4"/>
    <mergeCell ref="A5:B5"/>
    <mergeCell ref="A6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5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1" t="s">
        <v>571</v>
      </c>
      <c r="B1" s="12" t="s">
        <v>529</v>
      </c>
    </row>
    <row r="2" spans="1:2" x14ac:dyDescent="0.25">
      <c r="A2" s="11" t="s">
        <v>572</v>
      </c>
      <c r="B2" s="12" t="s">
        <v>200</v>
      </c>
    </row>
    <row r="3" spans="1:2" x14ac:dyDescent="0.25">
      <c r="A3" s="11" t="s">
        <v>573</v>
      </c>
      <c r="B3" s="12" t="s">
        <v>19</v>
      </c>
    </row>
    <row r="4" spans="1:2" x14ac:dyDescent="0.25">
      <c r="A4" s="13" t="s">
        <v>201</v>
      </c>
      <c r="B4" s="13"/>
    </row>
    <row r="5" spans="1:2" x14ac:dyDescent="0.25">
      <c r="A5" s="13" t="s">
        <v>855</v>
      </c>
      <c r="B5" s="13"/>
    </row>
  </sheetData>
  <mergeCells count="2">
    <mergeCell ref="A4:B4"/>
    <mergeCell ref="A5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9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1" t="s">
        <v>571</v>
      </c>
      <c r="B1" s="12" t="s">
        <v>534</v>
      </c>
    </row>
    <row r="2" spans="1:2" x14ac:dyDescent="0.25">
      <c r="A2" s="11" t="s">
        <v>572</v>
      </c>
      <c r="B2" s="12" t="s">
        <v>204</v>
      </c>
    </row>
    <row r="3" spans="1:2" x14ac:dyDescent="0.25">
      <c r="A3" s="11" t="s">
        <v>573</v>
      </c>
      <c r="B3" s="12" t="s">
        <v>19</v>
      </c>
    </row>
    <row r="4" spans="1:2" x14ac:dyDescent="0.25">
      <c r="A4" s="13" t="s">
        <v>231</v>
      </c>
      <c r="B4" s="13"/>
    </row>
    <row r="5" spans="1:2" x14ac:dyDescent="0.25">
      <c r="A5" s="13" t="s">
        <v>856</v>
      </c>
      <c r="B5" s="13"/>
    </row>
    <row r="6" spans="1:2" x14ac:dyDescent="0.25">
      <c r="A6" s="13" t="s">
        <v>857</v>
      </c>
      <c r="B6" s="13"/>
    </row>
    <row r="7" spans="1:2" x14ac:dyDescent="0.25">
      <c r="A7" s="13" t="s">
        <v>858</v>
      </c>
      <c r="B7" s="13"/>
    </row>
    <row r="8" spans="1:2" x14ac:dyDescent="0.25">
      <c r="A8" s="13" t="s">
        <v>859</v>
      </c>
      <c r="B8" s="13"/>
    </row>
    <row r="9" spans="1:2" x14ac:dyDescent="0.25">
      <c r="A9" s="13" t="s">
        <v>860</v>
      </c>
      <c r="B9" s="13"/>
    </row>
  </sheetData>
  <mergeCells count="6">
    <mergeCell ref="A4:B4"/>
    <mergeCell ref="A5:B5"/>
    <mergeCell ref="A6:B6"/>
    <mergeCell ref="A7:B7"/>
    <mergeCell ref="A8:B8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9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1" t="s">
        <v>571</v>
      </c>
      <c r="B1" s="12" t="s">
        <v>535</v>
      </c>
    </row>
    <row r="2" spans="1:2" x14ac:dyDescent="0.25">
      <c r="A2" s="11" t="s">
        <v>572</v>
      </c>
      <c r="B2" s="12" t="s">
        <v>204</v>
      </c>
    </row>
    <row r="3" spans="1:2" x14ac:dyDescent="0.25">
      <c r="A3" s="11" t="s">
        <v>573</v>
      </c>
      <c r="B3" s="12" t="s">
        <v>19</v>
      </c>
    </row>
    <row r="4" spans="1:2" x14ac:dyDescent="0.25">
      <c r="A4" s="13" t="s">
        <v>207</v>
      </c>
      <c r="B4" s="13"/>
    </row>
    <row r="5" spans="1:2" x14ac:dyDescent="0.25">
      <c r="A5" s="13" t="s">
        <v>861</v>
      </c>
      <c r="B5" s="13"/>
    </row>
    <row r="6" spans="1:2" x14ac:dyDescent="0.25">
      <c r="A6" s="13" t="s">
        <v>862</v>
      </c>
      <c r="B6" s="13"/>
    </row>
    <row r="7" spans="1:2" x14ac:dyDescent="0.25">
      <c r="A7" s="13" t="s">
        <v>863</v>
      </c>
      <c r="B7" s="13"/>
    </row>
    <row r="8" spans="1:2" x14ac:dyDescent="0.25">
      <c r="A8" s="13" t="s">
        <v>864</v>
      </c>
      <c r="B8" s="13"/>
    </row>
    <row r="9" spans="1:2" x14ac:dyDescent="0.25">
      <c r="A9" s="13" t="s">
        <v>860</v>
      </c>
      <c r="B9" s="13"/>
    </row>
  </sheetData>
  <mergeCells count="6">
    <mergeCell ref="A4:B4"/>
    <mergeCell ref="A5:B5"/>
    <mergeCell ref="A6:B6"/>
    <mergeCell ref="A7:B7"/>
    <mergeCell ref="A8:B8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5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1" t="s">
        <v>571</v>
      </c>
      <c r="B1" s="12" t="s">
        <v>352</v>
      </c>
    </row>
    <row r="2" spans="1:2" x14ac:dyDescent="0.25">
      <c r="A2" s="11" t="s">
        <v>572</v>
      </c>
      <c r="B2" s="12" t="s">
        <v>358</v>
      </c>
    </row>
    <row r="3" spans="1:2" x14ac:dyDescent="0.25">
      <c r="A3" s="11" t="s">
        <v>573</v>
      </c>
      <c r="B3" s="12" t="s">
        <v>19</v>
      </c>
    </row>
    <row r="4" spans="1:2" x14ac:dyDescent="0.25">
      <c r="A4" s="13" t="s">
        <v>359</v>
      </c>
      <c r="B4" s="13"/>
    </row>
    <row r="5" spans="1:2" x14ac:dyDescent="0.25">
      <c r="A5" s="13" t="s">
        <v>865</v>
      </c>
      <c r="B5" s="13"/>
    </row>
  </sheetData>
  <mergeCells count="2">
    <mergeCell ref="A4:B4"/>
    <mergeCell ref="A5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6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1" t="s">
        <v>571</v>
      </c>
      <c r="B1" s="12" t="s">
        <v>352</v>
      </c>
    </row>
    <row r="2" spans="1:2" x14ac:dyDescent="0.25">
      <c r="A2" s="11" t="s">
        <v>572</v>
      </c>
      <c r="B2" s="12" t="s">
        <v>371</v>
      </c>
    </row>
    <row r="3" spans="1:2" x14ac:dyDescent="0.25">
      <c r="A3" s="11" t="s">
        <v>573</v>
      </c>
      <c r="B3" s="12" t="s">
        <v>19</v>
      </c>
    </row>
    <row r="4" spans="1:2" x14ac:dyDescent="0.25">
      <c r="A4" s="13" t="s">
        <v>372</v>
      </c>
      <c r="B4" s="13"/>
    </row>
    <row r="5" spans="1:2" x14ac:dyDescent="0.25">
      <c r="A5" s="13" t="s">
        <v>866</v>
      </c>
      <c r="B5" s="13"/>
    </row>
    <row r="6" spans="1:2" x14ac:dyDescent="0.25">
      <c r="A6" s="13" t="s">
        <v>849</v>
      </c>
      <c r="B6" s="13"/>
    </row>
  </sheetData>
  <mergeCells count="3">
    <mergeCell ref="A4:B4"/>
    <mergeCell ref="A5:B5"/>
    <mergeCell ref="A6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5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1" t="s">
        <v>571</v>
      </c>
      <c r="B1" s="12" t="s">
        <v>390</v>
      </c>
    </row>
    <row r="2" spans="1:2" x14ac:dyDescent="0.25">
      <c r="A2" s="11" t="s">
        <v>572</v>
      </c>
      <c r="B2" s="12" t="s">
        <v>403</v>
      </c>
    </row>
    <row r="3" spans="1:2" x14ac:dyDescent="0.25">
      <c r="A3" s="11" t="s">
        <v>573</v>
      </c>
      <c r="B3" s="12" t="s">
        <v>19</v>
      </c>
    </row>
    <row r="4" spans="1:2" x14ac:dyDescent="0.25">
      <c r="A4" s="13" t="s">
        <v>404</v>
      </c>
      <c r="B4" s="13"/>
    </row>
    <row r="5" spans="1:2" x14ac:dyDescent="0.25">
      <c r="A5" s="13" t="s">
        <v>867</v>
      </c>
      <c r="B5" s="13"/>
    </row>
  </sheetData>
  <mergeCells count="2">
    <mergeCell ref="A4:B4"/>
    <mergeCell ref="A5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7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1" t="s">
        <v>571</v>
      </c>
      <c r="B1" s="12" t="s">
        <v>437</v>
      </c>
    </row>
    <row r="2" spans="1:2" x14ac:dyDescent="0.25">
      <c r="A2" s="11" t="s">
        <v>572</v>
      </c>
      <c r="B2" s="12" t="s">
        <v>440</v>
      </c>
    </row>
    <row r="3" spans="1:2" x14ac:dyDescent="0.25">
      <c r="A3" s="11" t="s">
        <v>573</v>
      </c>
      <c r="B3" s="12" t="s">
        <v>19</v>
      </c>
    </row>
    <row r="4" spans="1:2" x14ac:dyDescent="0.25">
      <c r="A4" s="13" t="s">
        <v>441</v>
      </c>
      <c r="B4" s="13"/>
    </row>
    <row r="5" spans="1:2" x14ac:dyDescent="0.25">
      <c r="A5" s="13" t="s">
        <v>868</v>
      </c>
      <c r="B5" s="13"/>
    </row>
    <row r="6" spans="1:2" x14ac:dyDescent="0.25">
      <c r="A6" s="13" t="s">
        <v>869</v>
      </c>
      <c r="B6" s="13"/>
    </row>
    <row r="7" spans="1:2" x14ac:dyDescent="0.25">
      <c r="A7" s="13" t="s">
        <v>870</v>
      </c>
      <c r="B7" s="13"/>
    </row>
  </sheetData>
  <mergeCells count="4">
    <mergeCell ref="A4:B4"/>
    <mergeCell ref="A5:B5"/>
    <mergeCell ref="A6:B6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5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1" t="s">
        <v>571</v>
      </c>
      <c r="B1" s="12" t="s">
        <v>563</v>
      </c>
    </row>
    <row r="2" spans="1:2" x14ac:dyDescent="0.25">
      <c r="A2" s="11" t="s">
        <v>572</v>
      </c>
      <c r="B2" s="12" t="s">
        <v>200</v>
      </c>
    </row>
    <row r="3" spans="1:2" x14ac:dyDescent="0.25">
      <c r="A3" s="11" t="s">
        <v>573</v>
      </c>
      <c r="B3" s="12" t="s">
        <v>19</v>
      </c>
    </row>
    <row r="4" spans="1:2" x14ac:dyDescent="0.25">
      <c r="A4" s="13" t="s">
        <v>201</v>
      </c>
      <c r="B4" s="13"/>
    </row>
    <row r="5" spans="1:2" x14ac:dyDescent="0.25">
      <c r="A5" s="13" t="s">
        <v>855</v>
      </c>
      <c r="B5" s="13"/>
    </row>
  </sheetData>
  <mergeCells count="2">
    <mergeCell ref="A4:B4"/>
    <mergeCell ref="A5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GS MERSDW VVB Onboarding Schem</vt:lpstr>
      <vt:lpstr>GS MERSDW Project Developer On</vt:lpstr>
      <vt:lpstr>GS MERSDW Project Form</vt:lpstr>
      <vt:lpstr>GS MERSDW Project Design Docum</vt:lpstr>
      <vt:lpstr>Project Related Information</vt:lpstr>
      <vt:lpstr>Country</vt:lpstr>
      <vt:lpstr>Additional Information</vt:lpstr>
      <vt:lpstr>Water Treatment Technology</vt:lpstr>
      <vt:lpstr>If the Project Installation is</vt:lpstr>
      <vt:lpstr>Project Developer Details</vt:lpstr>
      <vt:lpstr>Entity Information</vt:lpstr>
      <vt:lpstr>Contact Person Details</vt:lpstr>
      <vt:lpstr>Project Location Details</vt:lpstr>
      <vt:lpstr>Project Details</vt:lpstr>
      <vt:lpstr>Upload Supporting Compliance D</vt:lpstr>
      <vt:lpstr>Water Treatment Technology - C</vt:lpstr>
      <vt:lpstr>Treatment Technology Sub-type</vt:lpstr>
      <vt:lpstr>Treatment Technology Sub-ty 2</vt:lpstr>
      <vt:lpstr>Basic Information</vt:lpstr>
      <vt:lpstr>Replacement Strategy Details</vt:lpstr>
      <vt:lpstr>Estimated Baseline Calculation</vt:lpstr>
      <vt:lpstr>Water Source Baseline Details</vt:lpstr>
      <vt:lpstr>Methodologies and Standardized</vt:lpstr>
      <vt:lpstr>Project Crediting Period Detai</vt:lpstr>
      <vt:lpstr>Maintenance and Operation Plan</vt:lpstr>
      <vt:lpstr>Hygiene Awareness Campaign</vt:lpstr>
      <vt:lpstr>Project Boundary and Additiona</vt:lpstr>
      <vt:lpstr>Host Country Regulatory Framew</vt:lpstr>
      <vt:lpstr>Monitoring Plan Summary</vt:lpstr>
      <vt:lpstr>Project Crediting Period</vt:lpstr>
      <vt:lpstr>Water Treatment Technology - P</vt:lpstr>
      <vt:lpstr>Water Treatment Technology  2</vt:lpstr>
      <vt:lpstr>Maintenance Plan for CWTCWS</vt:lpstr>
      <vt:lpstr>Scope (enum)</vt:lpstr>
      <vt:lpstr>Accreditation Scope (enum)</vt:lpstr>
      <vt:lpstr>Country 2 (enum)</vt:lpstr>
      <vt:lpstr>Entity Type (enum)</vt:lpstr>
      <vt:lpstr>UrbanRural Classificati (enum)</vt:lpstr>
      <vt:lpstr>Project Status (enum)</vt:lpstr>
      <vt:lpstr>The scale of the projec (enum)</vt:lpstr>
      <vt:lpstr>Treatment Technology Ca (enum)</vt:lpstr>
      <vt:lpstr>Treatment Technology Su (enum)</vt:lpstr>
      <vt:lpstr>Treatment Technology 2 (enum)</vt:lpstr>
      <vt:lpstr>Water source classifica (enum)</vt:lpstr>
      <vt:lpstr>Baseline treatment meth (enum)</vt:lpstr>
      <vt:lpstr>Type of crediting Perio (enum)</vt:lpstr>
      <vt:lpstr>Campaign type (enum)</vt:lpstr>
      <vt:lpstr>Treatment Technology 3 (enum)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2026-01-22T09:44:09Z</dcterms:created>
  <dcterms:modified xsi:type="dcterms:W3CDTF">2026-01-22T09:44:09Z</dcterms:modified>
</cp:coreProperties>
</file>